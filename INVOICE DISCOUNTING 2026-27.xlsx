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7.xml" ContentType="application/vnd.openxmlformats-officedocument.drawing+xml"/>
  <Override PartName="/xl/tables/table3.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Account\E\RAKESH\INVOICE DISCOUNTING\"/>
    </mc:Choice>
  </mc:AlternateContent>
  <xr:revisionPtr revIDLastSave="0" documentId="13_ncr:1_{54892409-7F44-400D-8A3F-22C6226C1D29}" xr6:coauthVersionLast="47" xr6:coauthVersionMax="47" xr10:uidLastSave="{00000000-0000-0000-0000-000000000000}"/>
  <bookViews>
    <workbookView xWindow="-120" yWindow="-120" windowWidth="29040" windowHeight="15720" activeTab="4" xr2:uid="{00000000-000D-0000-FFFF-FFFF00000000}"/>
  </bookViews>
  <sheets>
    <sheet name="Sheet_Index" sheetId="29" r:id="rId1"/>
    <sheet name="Dash_Settings" sheetId="25" state="hidden" r:id="rId2"/>
    <sheet name="Dash_Backend" sheetId="24" state="hidden" r:id="rId3"/>
    <sheet name="Offline_Dashboard" sheetId="23" r:id="rId4"/>
    <sheet name="DOMESTIC" sheetId="16" r:id="rId5"/>
    <sheet name="EXPORT" sheetId="26" r:id="rId6"/>
    <sheet name="SUMMARY" sheetId="7" state="hidden" r:id="rId7"/>
    <sheet name="AI Generated Formula" sheetId="30" state="hidden" r:id="rId8"/>
    <sheet name="DOMESTIC (2)" sheetId="31" state="hidden" r:id="rId9"/>
    <sheet name="GitHub Setup Guide" sheetId="34" r:id="rId10"/>
  </sheets>
  <externalReferences>
    <externalReference r:id="rId11"/>
    <externalReference r:id="rId12"/>
  </externalReferences>
  <definedNames>
    <definedName name="__FocusCell" localSheetId="7">'AI Generated Formula'!$A$1</definedName>
    <definedName name="__FocusCell" localSheetId="2">Dash_Backend!$A$1</definedName>
    <definedName name="__FocusCell" localSheetId="1">Dash_Settings!$A$1</definedName>
    <definedName name="__FocusCell" localSheetId="4">DOMESTIC!$F$12</definedName>
    <definedName name="__FocusCell" localSheetId="8">'DOMESTIC (2)'!$F$12</definedName>
    <definedName name="__FocusCell" localSheetId="5">EXPORT!$A$1</definedName>
    <definedName name="__FocusCell" localSheetId="3">Offline_Dashboard!$A$1</definedName>
    <definedName name="__FocusCell" localSheetId="0">Sheet_Index!$B$14</definedName>
    <definedName name="__FocusCell" localSheetId="6">SUMMARY!$A$1</definedName>
    <definedName name="_xlnm._FilterDatabase" localSheetId="4" hidden="1">DOMESTIC!$A$1:$W$1</definedName>
    <definedName name="_xlnm._FilterDatabase" localSheetId="8" hidden="1">'DOMESTIC (2)'!$A$1:$W$1</definedName>
    <definedName name="_xlnm._FilterDatabase" localSheetId="5" hidden="1">EXPORT!$A$1:$BE$29</definedName>
    <definedName name="CELL" localSheetId="4">DOMESTIC!#REF!</definedName>
    <definedName name="CELL" localSheetId="8">'DOMESTIC (2)'!#REF!</definedName>
    <definedName name="CELL" localSheetId="5">'[1]2024-2511'!#REF!</definedName>
    <definedName name="CELL">'[1]2024-2511'!#REF!</definedName>
    <definedName name="DashCurrencies">Dash_Settings!$AA$1:$AA$20</definedName>
    <definedName name="DashHeaders">Dash_Settings!$Z$1:$Z$29</definedName>
    <definedName name="IND" localSheetId="5">#REF!</definedName>
    <definedName name="IND">#REF!</definedName>
    <definedName name="_xlnm.Print_Area" localSheetId="5">EXPORT!$A$1:$AT$29</definedName>
    <definedName name="_xlnm.Print_Area" localSheetId="0">Sheet_Index!$A$1:$G$10</definedName>
    <definedName name="Slicer_Debtor_Code">#N/A</definedName>
    <definedName name="Slicer_Instrument_Date">#N/A</definedName>
    <definedName name="Slicer_Invoice_Disc_Tranch">#N/A</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 name="SYS_DashBackend" hidden="1">Dash_Backend!$A$1</definedName>
    <definedName name="SYS_DashSettings" hidden="1">Dash_Settings!$A$1</definedName>
    <definedName name="SYS_DashTheme">Offline_Dashboard!$G$3</definedName>
    <definedName name="SYS_DataSourceRng" localSheetId="8" hidden="1">'DOMESTIC (2)'!$A$2</definedName>
    <definedName name="SYS_DataSourceRng" hidden="1">DOMESTIC!$A$2:$AC$259</definedName>
    <definedName name="SYS_OfflineDash" hidden="1">Offline_Dashboard!$A$1</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4:slicerCache r:id="rId23"/>
        <x14:slicerCache r:id="rId2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59" i="16" l="1"/>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B117" i="16"/>
  <c r="B154" i="16"/>
  <c r="B175" i="16"/>
  <c r="B184" i="16"/>
  <c r="B186" i="16"/>
  <c r="B192" i="16"/>
  <c r="B206"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J236" i="16" a="1"/>
  <c r="J236" i="16" s="1"/>
  <c r="J237" i="16" a="1"/>
  <c r="J237" i="16" s="1"/>
  <c r="L237" i="16" s="1"/>
  <c r="J238" i="16" a="1"/>
  <c r="J238" i="16" s="1"/>
  <c r="L238" i="16" s="1"/>
  <c r="J239" i="16" a="1"/>
  <c r="J239" i="16" s="1"/>
  <c r="L239" i="16" s="1"/>
  <c r="J240" i="16" a="1"/>
  <c r="J240" i="16" s="1"/>
  <c r="J241" i="16" a="1"/>
  <c r="J241" i="16" s="1"/>
  <c r="J242" i="16" a="1"/>
  <c r="J242" i="16" s="1"/>
  <c r="J243" i="16" a="1"/>
  <c r="J243" i="16" s="1"/>
  <c r="J244" i="16" a="1"/>
  <c r="J244" i="16" s="1"/>
  <c r="J245" i="16" a="1"/>
  <c r="J245" i="16" s="1"/>
  <c r="L245" i="16" s="1"/>
  <c r="J246" i="16" a="1"/>
  <c r="J246" i="16" s="1"/>
  <c r="J247" i="16" a="1"/>
  <c r="J247" i="16" s="1"/>
  <c r="J248" i="16" a="1"/>
  <c r="J248" i="16" s="1"/>
  <c r="J249" i="16" a="1"/>
  <c r="J249" i="16" s="1"/>
  <c r="L249" i="16" s="1"/>
  <c r="J250" i="16" a="1"/>
  <c r="J250" i="16" s="1"/>
  <c r="J251" i="16" a="1"/>
  <c r="J251" i="16" s="1"/>
  <c r="L251" i="16" s="1"/>
  <c r="J252" i="16" a="1"/>
  <c r="J252" i="16" s="1"/>
  <c r="J253" i="16" a="1"/>
  <c r="J253" i="16" s="1"/>
  <c r="J254" i="16" a="1"/>
  <c r="J254" i="16" s="1"/>
  <c r="J255" i="16" a="1"/>
  <c r="J255" i="16" s="1"/>
  <c r="J256" i="16" a="1"/>
  <c r="J256" i="16" s="1"/>
  <c r="J257" i="16" a="1"/>
  <c r="J257" i="16" s="1"/>
  <c r="L257" i="16" s="1"/>
  <c r="J258" i="16" a="1"/>
  <c r="J258" i="16" s="1"/>
  <c r="J259" i="16" a="1"/>
  <c r="J259" i="16" s="1"/>
  <c r="N236" i="16"/>
  <c r="N237" i="16"/>
  <c r="N238" i="16"/>
  <c r="N239" i="16"/>
  <c r="N240" i="16"/>
  <c r="N241" i="16"/>
  <c r="N242" i="16"/>
  <c r="N243" i="16"/>
  <c r="N244" i="16"/>
  <c r="N245" i="16"/>
  <c r="N246" i="16"/>
  <c r="N247" i="16"/>
  <c r="N248" i="16"/>
  <c r="N249" i="16"/>
  <c r="N250" i="16"/>
  <c r="N251" i="16"/>
  <c r="N252" i="16"/>
  <c r="N253" i="16"/>
  <c r="N254" i="16"/>
  <c r="N255" i="16"/>
  <c r="N256" i="16"/>
  <c r="N257" i="16"/>
  <c r="N258" i="16"/>
  <c r="N259" i="16"/>
  <c r="R236" i="16"/>
  <c r="R237" i="16"/>
  <c r="R238" i="16"/>
  <c r="R239" i="16"/>
  <c r="R240" i="16"/>
  <c r="R241" i="16"/>
  <c r="R242" i="16"/>
  <c r="R243" i="16"/>
  <c r="R244" i="16"/>
  <c r="R245" i="16"/>
  <c r="R246" i="16"/>
  <c r="R247" i="16"/>
  <c r="R248" i="16"/>
  <c r="R249" i="16"/>
  <c r="R250" i="16"/>
  <c r="R251" i="16"/>
  <c r="R252" i="16"/>
  <c r="R253" i="16"/>
  <c r="R254" i="16"/>
  <c r="R255" i="16"/>
  <c r="R256" i="16"/>
  <c r="R257" i="16"/>
  <c r="R258" i="16"/>
  <c r="R259" i="16"/>
  <c r="AC236" i="16" a="1"/>
  <c r="AC236" i="16" s="1"/>
  <c r="AC237" i="16" a="1"/>
  <c r="AC237" i="16" s="1"/>
  <c r="AC238" i="16" a="1"/>
  <c r="AC238" i="16" s="1"/>
  <c r="AC239" i="16" a="1"/>
  <c r="AC239" i="16" s="1"/>
  <c r="AC240" i="16" a="1"/>
  <c r="AC240" i="16" s="1"/>
  <c r="AC241" i="16" a="1"/>
  <c r="AC241" i="16" s="1"/>
  <c r="AC242" i="16" a="1"/>
  <c r="AC242" i="16" s="1"/>
  <c r="AC243" i="16" a="1"/>
  <c r="AC243" i="16" s="1"/>
  <c r="AC244" i="16" a="1"/>
  <c r="AC244" i="16" s="1"/>
  <c r="AC245" i="16" a="1"/>
  <c r="AC245" i="16" s="1"/>
  <c r="AC246" i="16" a="1"/>
  <c r="AC246" i="16" s="1"/>
  <c r="AC247" i="16" a="1"/>
  <c r="AC247" i="16" s="1"/>
  <c r="AC248" i="16" a="1"/>
  <c r="AC248" i="16" s="1"/>
  <c r="AC249" i="16" a="1"/>
  <c r="AC249" i="16"/>
  <c r="AC250" i="16" a="1"/>
  <c r="AC250" i="16" s="1"/>
  <c r="AC251" i="16" a="1"/>
  <c r="AC251" i="16" s="1"/>
  <c r="AC252" i="16" a="1"/>
  <c r="AC252" i="16" s="1"/>
  <c r="AC253" i="16" a="1"/>
  <c r="AC253" i="16" s="1"/>
  <c r="AC254" i="16" a="1"/>
  <c r="AC254" i="16" s="1"/>
  <c r="AC255" i="16" a="1"/>
  <c r="AC255" i="16" s="1"/>
  <c r="AC256" i="16" a="1"/>
  <c r="AC256" i="16" s="1"/>
  <c r="AC257" i="16" a="1"/>
  <c r="AC257" i="16" s="1"/>
  <c r="AC258" i="16" a="1"/>
  <c r="AC258" i="16" s="1"/>
  <c r="AC259" i="16" a="1"/>
  <c r="AC259" i="16" s="1"/>
  <c r="K20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J207" i="16" a="1"/>
  <c r="J207" i="16" s="1"/>
  <c r="J208" i="16" a="1"/>
  <c r="J208" i="16" s="1"/>
  <c r="J209" i="16" a="1"/>
  <c r="J209" i="16" s="1"/>
  <c r="J210" i="16" a="1"/>
  <c r="J210" i="16" s="1"/>
  <c r="J211" i="16" a="1"/>
  <c r="J211" i="16" s="1"/>
  <c r="J212" i="16" a="1"/>
  <c r="J212" i="16" s="1"/>
  <c r="J213" i="16" a="1"/>
  <c r="J213" i="16" s="1"/>
  <c r="J214" i="16" a="1"/>
  <c r="J214" i="16" s="1"/>
  <c r="J215" i="16" a="1"/>
  <c r="J215" i="16" s="1"/>
  <c r="J216" i="16" a="1"/>
  <c r="J216" i="16" s="1"/>
  <c r="J217" i="16" a="1"/>
  <c r="J217" i="16" s="1"/>
  <c r="J218" i="16" a="1"/>
  <c r="J218" i="16" s="1"/>
  <c r="J219" i="16" a="1"/>
  <c r="J219" i="16" s="1"/>
  <c r="J220" i="16" a="1"/>
  <c r="J220" i="16" s="1"/>
  <c r="J221" i="16" a="1"/>
  <c r="J221" i="16" s="1"/>
  <c r="J222" i="16" a="1"/>
  <c r="J222" i="16" s="1"/>
  <c r="J223" i="16" a="1"/>
  <c r="J223" i="16" s="1"/>
  <c r="J224" i="16" a="1"/>
  <c r="J224" i="16" s="1"/>
  <c r="J225" i="16" a="1"/>
  <c r="J225" i="16" s="1"/>
  <c r="J226" i="16" a="1"/>
  <c r="J226" i="16" s="1"/>
  <c r="J227" i="16" a="1"/>
  <c r="J227" i="16" s="1"/>
  <c r="J228" i="16" a="1"/>
  <c r="J228" i="16" s="1"/>
  <c r="J229" i="16" a="1"/>
  <c r="J229" i="16" s="1"/>
  <c r="J230" i="16" a="1"/>
  <c r="J230" i="16" s="1"/>
  <c r="J231" i="16" a="1"/>
  <c r="J231" i="16" s="1"/>
  <c r="J232" i="16" a="1"/>
  <c r="J232" i="16" s="1"/>
  <c r="J233" i="16" a="1"/>
  <c r="J233" i="16" s="1"/>
  <c r="J234" i="16" a="1"/>
  <c r="J234" i="16" s="1"/>
  <c r="J235" i="16" a="1"/>
  <c r="J235" i="16" s="1"/>
  <c r="N207" i="16"/>
  <c r="N208" i="16"/>
  <c r="N209" i="16"/>
  <c r="N210" i="16"/>
  <c r="N211" i="16"/>
  <c r="N212" i="16"/>
  <c r="N213" i="16"/>
  <c r="N214" i="16"/>
  <c r="N215" i="16"/>
  <c r="N216" i="16"/>
  <c r="N217" i="16"/>
  <c r="N218" i="16"/>
  <c r="N219" i="16"/>
  <c r="N220" i="16"/>
  <c r="N221" i="16"/>
  <c r="N222" i="16"/>
  <c r="N223" i="16"/>
  <c r="N224" i="16"/>
  <c r="N225" i="16"/>
  <c r="N226" i="16"/>
  <c r="N227" i="16"/>
  <c r="N228" i="16"/>
  <c r="N229" i="16"/>
  <c r="N230" i="16"/>
  <c r="N231" i="16"/>
  <c r="N232" i="16"/>
  <c r="N233" i="16"/>
  <c r="N234" i="16"/>
  <c r="N235" i="16"/>
  <c r="R207" i="16"/>
  <c r="R208" i="16"/>
  <c r="R209" i="16"/>
  <c r="R210" i="16"/>
  <c r="R211" i="16"/>
  <c r="R212" i="16"/>
  <c r="R213" i="16"/>
  <c r="R214" i="16"/>
  <c r="R215" i="16"/>
  <c r="R216" i="16"/>
  <c r="R217" i="16"/>
  <c r="R218" i="16"/>
  <c r="R219" i="16"/>
  <c r="R220" i="16"/>
  <c r="R221" i="16"/>
  <c r="R222" i="16"/>
  <c r="R223" i="16"/>
  <c r="R224" i="16"/>
  <c r="R225" i="16"/>
  <c r="R226" i="16"/>
  <c r="R227" i="16"/>
  <c r="R228" i="16"/>
  <c r="R229" i="16"/>
  <c r="R230" i="16"/>
  <c r="R231" i="16"/>
  <c r="R232" i="16"/>
  <c r="R233" i="16"/>
  <c r="R234" i="16"/>
  <c r="R235" i="16"/>
  <c r="AC207" i="16" a="1"/>
  <c r="AC207" i="16" s="1"/>
  <c r="AC208" i="16" a="1"/>
  <c r="AC208" i="16" s="1"/>
  <c r="AC209" i="16" a="1"/>
  <c r="AC209" i="16" s="1"/>
  <c r="AC210" i="16" a="1"/>
  <c r="AC210" i="16" s="1"/>
  <c r="AC211" i="16" a="1"/>
  <c r="AC211" i="16" s="1"/>
  <c r="AC212" i="16" a="1"/>
  <c r="AC212" i="16" s="1"/>
  <c r="AC213" i="16" a="1"/>
  <c r="AC213" i="16" s="1"/>
  <c r="AC214" i="16" a="1"/>
  <c r="AC214" i="16" s="1"/>
  <c r="AC215" i="16" a="1"/>
  <c r="AC215" i="16" s="1"/>
  <c r="AC216" i="16" a="1"/>
  <c r="AC216" i="16" s="1"/>
  <c r="AC217" i="16" a="1"/>
  <c r="AC217" i="16" s="1"/>
  <c r="AC218" i="16" a="1"/>
  <c r="AC218" i="16" s="1"/>
  <c r="AC219" i="16" a="1"/>
  <c r="AC219" i="16" s="1"/>
  <c r="AC220" i="16" a="1"/>
  <c r="AC220" i="16" s="1"/>
  <c r="AC221" i="16" a="1"/>
  <c r="AC221" i="16" s="1"/>
  <c r="AC222" i="16" a="1"/>
  <c r="AC222" i="16" s="1"/>
  <c r="AC223" i="16" a="1"/>
  <c r="AC223" i="16" s="1"/>
  <c r="AC224" i="16" a="1"/>
  <c r="AC224" i="16" s="1"/>
  <c r="AC225" i="16" a="1"/>
  <c r="AC225" i="16" s="1"/>
  <c r="AC226" i="16" a="1"/>
  <c r="AC226" i="16" s="1"/>
  <c r="AC227" i="16" a="1"/>
  <c r="AC227" i="16" s="1"/>
  <c r="AC228" i="16" a="1"/>
  <c r="AC228" i="16" s="1"/>
  <c r="AC229" i="16" a="1"/>
  <c r="AC229" i="16" s="1"/>
  <c r="AC230" i="16" a="1"/>
  <c r="AC230" i="16" s="1"/>
  <c r="AC231" i="16" a="1"/>
  <c r="AC231" i="16" s="1"/>
  <c r="AC232" i="16" a="1"/>
  <c r="AC232" i="16" s="1"/>
  <c r="AC233" i="16" a="1"/>
  <c r="AC233" i="16" s="1"/>
  <c r="AC234" i="16" a="1"/>
  <c r="AC234" i="16" s="1"/>
  <c r="AC235" i="16" a="1"/>
  <c r="AC235" i="16" s="1"/>
  <c r="T250" i="16" l="1"/>
  <c r="U250" i="16" s="1"/>
  <c r="V250" i="16" s="1"/>
  <c r="T256" i="16"/>
  <c r="U256" i="16" s="1"/>
  <c r="V256" i="16" s="1"/>
  <c r="L256" i="16"/>
  <c r="T255" i="16"/>
  <c r="U255" i="16" s="1"/>
  <c r="V255" i="16" s="1"/>
  <c r="L255" i="16"/>
  <c r="T244" i="16"/>
  <c r="U244" i="16" s="1"/>
  <c r="V244" i="16" s="1"/>
  <c r="L244" i="16"/>
  <c r="T243" i="16"/>
  <c r="U243" i="16" s="1"/>
  <c r="V243" i="16" s="1"/>
  <c r="L243" i="16"/>
  <c r="L258" i="16"/>
  <c r="T258" i="16"/>
  <c r="U258" i="16" s="1"/>
  <c r="V258" i="16" s="1"/>
  <c r="L248" i="16"/>
  <c r="T248" i="16"/>
  <c r="U248" i="16" s="1"/>
  <c r="V248" i="16" s="1"/>
  <c r="L242" i="16"/>
  <c r="T242" i="16"/>
  <c r="U242" i="16" s="1"/>
  <c r="V242" i="16" s="1"/>
  <c r="L247" i="16"/>
  <c r="T247" i="16"/>
  <c r="U247" i="16" s="1"/>
  <c r="V247" i="16" s="1"/>
  <c r="L252" i="16"/>
  <c r="T252" i="16"/>
  <c r="U252" i="16" s="1"/>
  <c r="V252" i="16" s="1"/>
  <c r="L246" i="16"/>
  <c r="T246" i="16"/>
  <c r="U246" i="16" s="1"/>
  <c r="V246" i="16" s="1"/>
  <c r="L254" i="16"/>
  <c r="T254" i="16"/>
  <c r="U254" i="16" s="1"/>
  <c r="V254" i="16" s="1"/>
  <c r="L253" i="16"/>
  <c r="T253" i="16"/>
  <c r="U253" i="16" s="1"/>
  <c r="V253" i="16" s="1"/>
  <c r="L236" i="16"/>
  <c r="T236" i="16"/>
  <c r="U236" i="16" s="1"/>
  <c r="V236" i="16" s="1"/>
  <c r="L241" i="16"/>
  <c r="T241" i="16"/>
  <c r="U241" i="16" s="1"/>
  <c r="V241" i="16" s="1"/>
  <c r="L240" i="16"/>
  <c r="T240" i="16"/>
  <c r="U240" i="16" s="1"/>
  <c r="V240" i="16" s="1"/>
  <c r="L259" i="16"/>
  <c r="T259" i="16"/>
  <c r="U259" i="16" s="1"/>
  <c r="V259" i="16" s="1"/>
  <c r="T249" i="16"/>
  <c r="U249" i="16" s="1"/>
  <c r="V249" i="16" s="1"/>
  <c r="T237" i="16"/>
  <c r="U237" i="16" s="1"/>
  <c r="V237" i="16" s="1"/>
  <c r="T251" i="16"/>
  <c r="U251" i="16" s="1"/>
  <c r="V251" i="16" s="1"/>
  <c r="T239" i="16"/>
  <c r="U239" i="16" s="1"/>
  <c r="V239" i="16" s="1"/>
  <c r="T238" i="16"/>
  <c r="U238" i="16" s="1"/>
  <c r="V238" i="16" s="1"/>
  <c r="L250" i="16"/>
  <c r="T257" i="16"/>
  <c r="U257" i="16" s="1"/>
  <c r="V257" i="16" s="1"/>
  <c r="T245" i="16"/>
  <c r="U245" i="16" s="1"/>
  <c r="V245" i="16" s="1"/>
  <c r="L228" i="16"/>
  <c r="T228" i="16"/>
  <c r="U228" i="16" s="1"/>
  <c r="V228" i="16" s="1"/>
  <c r="L227" i="16"/>
  <c r="T227" i="16"/>
  <c r="U227" i="16" s="1"/>
  <c r="V227" i="16" s="1"/>
  <c r="L215" i="16"/>
  <c r="T215" i="16"/>
  <c r="U215" i="16" s="1"/>
  <c r="V215" i="16" s="1"/>
  <c r="L226" i="16"/>
  <c r="T226" i="16"/>
  <c r="U226" i="16" s="1"/>
  <c r="V226" i="16" s="1"/>
  <c r="T214" i="16"/>
  <c r="U214" i="16" s="1"/>
  <c r="V214" i="16" s="1"/>
  <c r="L214" i="16"/>
  <c r="L216" i="16"/>
  <c r="T216" i="16"/>
  <c r="U216" i="16" s="1"/>
  <c r="V216" i="16" s="1"/>
  <c r="L225" i="16"/>
  <c r="T225" i="16"/>
  <c r="U225" i="16" s="1"/>
  <c r="V225" i="16" s="1"/>
  <c r="L213" i="16"/>
  <c r="T213" i="16"/>
  <c r="U213" i="16" s="1"/>
  <c r="V213" i="16" s="1"/>
  <c r="L224" i="16"/>
  <c r="T224" i="16"/>
  <c r="U224" i="16" s="1"/>
  <c r="V224" i="16" s="1"/>
  <c r="L212" i="16"/>
  <c r="T212" i="16"/>
  <c r="U212" i="16" s="1"/>
  <c r="V212" i="16" s="1"/>
  <c r="T223" i="16"/>
  <c r="U223" i="16" s="1"/>
  <c r="V223" i="16" s="1"/>
  <c r="L223" i="16"/>
  <c r="L232" i="16"/>
  <c r="T232" i="16"/>
  <c r="U232" i="16" s="1"/>
  <c r="V232" i="16" s="1"/>
  <c r="T220" i="16"/>
  <c r="U220" i="16" s="1"/>
  <c r="V220" i="16" s="1"/>
  <c r="L220" i="16"/>
  <c r="L208" i="16"/>
  <c r="T208" i="16"/>
  <c r="U208" i="16" s="1"/>
  <c r="V208" i="16" s="1"/>
  <c r="T235" i="16"/>
  <c r="U235" i="16" s="1"/>
  <c r="V235" i="16" s="1"/>
  <c r="L235" i="16"/>
  <c r="T211" i="16"/>
  <c r="U211" i="16" s="1"/>
  <c r="V211" i="16" s="1"/>
  <c r="L211" i="16"/>
  <c r="L234" i="16"/>
  <c r="T234" i="16"/>
  <c r="U234" i="16" s="1"/>
  <c r="V234" i="16" s="1"/>
  <c r="L222" i="16"/>
  <c r="T222" i="16"/>
  <c r="U222" i="16" s="1"/>
  <c r="V222" i="16" s="1"/>
  <c r="L210" i="16"/>
  <c r="T210" i="16"/>
  <c r="U210" i="16" s="1"/>
  <c r="V210" i="16" s="1"/>
  <c r="T233" i="16"/>
  <c r="U233" i="16" s="1"/>
  <c r="V233" i="16" s="1"/>
  <c r="L233" i="16"/>
  <c r="T221" i="16"/>
  <c r="U221" i="16" s="1"/>
  <c r="V221" i="16" s="1"/>
  <c r="L221" i="16"/>
  <c r="T209" i="16"/>
  <c r="U209" i="16" s="1"/>
  <c r="V209" i="16" s="1"/>
  <c r="L209" i="16"/>
  <c r="T231" i="16"/>
  <c r="U231" i="16" s="1"/>
  <c r="V231" i="16" s="1"/>
  <c r="L231" i="16"/>
  <c r="T219" i="16"/>
  <c r="U219" i="16" s="1"/>
  <c r="V219" i="16" s="1"/>
  <c r="L219" i="16"/>
  <c r="T207" i="16"/>
  <c r="U207" i="16" s="1"/>
  <c r="V207" i="16" s="1"/>
  <c r="L207" i="16"/>
  <c r="L230" i="16"/>
  <c r="T230" i="16"/>
  <c r="U230" i="16" s="1"/>
  <c r="V230" i="16" s="1"/>
  <c r="L218" i="16"/>
  <c r="T218" i="16"/>
  <c r="U218" i="16" s="1"/>
  <c r="V218" i="16" s="1"/>
  <c r="L229" i="16"/>
  <c r="T229" i="16"/>
  <c r="U229" i="16" s="1"/>
  <c r="V229" i="16" s="1"/>
  <c r="L217" i="16"/>
  <c r="T217" i="16"/>
  <c r="U217" i="16" s="1"/>
  <c r="V217" i="16" s="1"/>
  <c r="I32" i="26" l="1"/>
  <c r="I33" i="26" s="1"/>
  <c r="K35" i="26" l="1"/>
  <c r="K36" i="26" s="1"/>
  <c r="K34" i="26"/>
  <c r="K205" i="16" l="1"/>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B193" i="16"/>
  <c r="B194" i="16"/>
  <c r="B195" i="16"/>
  <c r="B196" i="16"/>
  <c r="B197" i="16"/>
  <c r="B198" i="16"/>
  <c r="B199" i="16"/>
  <c r="B200" i="16"/>
  <c r="B201" i="16"/>
  <c r="B202" i="16"/>
  <c r="B203" i="16"/>
  <c r="B204" i="16"/>
  <c r="B205" i="16"/>
  <c r="J193" i="16" a="1"/>
  <c r="J193" i="16" s="1"/>
  <c r="J194" i="16" a="1"/>
  <c r="J194" i="16" s="1"/>
  <c r="J195" i="16" a="1"/>
  <c r="J195" i="16" s="1"/>
  <c r="J196" i="16" a="1"/>
  <c r="J196" i="16" s="1"/>
  <c r="J197" i="16" a="1"/>
  <c r="J197" i="16" s="1"/>
  <c r="J198" i="16" a="1"/>
  <c r="J198" i="16" s="1"/>
  <c r="J199" i="16" a="1"/>
  <c r="J199" i="16" s="1"/>
  <c r="L199" i="16" s="1"/>
  <c r="J200" i="16" a="1"/>
  <c r="J200" i="16" s="1"/>
  <c r="L200" i="16" s="1"/>
  <c r="J201" i="16" a="1"/>
  <c r="J201" i="16" s="1"/>
  <c r="J202" i="16" a="1"/>
  <c r="J202" i="16" s="1"/>
  <c r="J203" i="16" a="1"/>
  <c r="J203" i="16" s="1"/>
  <c r="J204" i="16" a="1"/>
  <c r="J204" i="16" s="1"/>
  <c r="J205" i="16" a="1"/>
  <c r="J205" i="16" s="1"/>
  <c r="J206" i="16" a="1"/>
  <c r="J206" i="16" s="1"/>
  <c r="N193" i="16"/>
  <c r="N194" i="16"/>
  <c r="N195" i="16"/>
  <c r="N196" i="16"/>
  <c r="N197" i="16"/>
  <c r="N198" i="16"/>
  <c r="N199" i="16"/>
  <c r="N200" i="16"/>
  <c r="N201" i="16"/>
  <c r="N202" i="16"/>
  <c r="N203" i="16"/>
  <c r="N204" i="16"/>
  <c r="N205" i="16"/>
  <c r="N206" i="16"/>
  <c r="R193" i="16"/>
  <c r="R194" i="16"/>
  <c r="R195" i="16"/>
  <c r="R196" i="16"/>
  <c r="R197" i="16"/>
  <c r="R198" i="16"/>
  <c r="R199" i="16"/>
  <c r="R200" i="16"/>
  <c r="R201" i="16"/>
  <c r="R202" i="16"/>
  <c r="R203" i="16"/>
  <c r="R204" i="16"/>
  <c r="R205" i="16"/>
  <c r="R206" i="16"/>
  <c r="AC193" i="16" a="1"/>
  <c r="AC193" i="16" s="1"/>
  <c r="AC194" i="16" a="1"/>
  <c r="AC194" i="16" s="1"/>
  <c r="AC195" i="16" a="1"/>
  <c r="AC195" i="16" s="1"/>
  <c r="AC196" i="16" a="1"/>
  <c r="AC196" i="16" s="1"/>
  <c r="AC197" i="16" a="1"/>
  <c r="AC197" i="16" s="1"/>
  <c r="AC198" i="16" a="1"/>
  <c r="AC198" i="16" s="1"/>
  <c r="AC199" i="16" a="1"/>
  <c r="AC199" i="16" s="1"/>
  <c r="AC200" i="16" a="1"/>
  <c r="AC200" i="16" s="1"/>
  <c r="AC201" i="16" a="1"/>
  <c r="AC201" i="16" s="1"/>
  <c r="AC202" i="16" a="1"/>
  <c r="AC202" i="16" s="1"/>
  <c r="AC203" i="16" a="1"/>
  <c r="AC203" i="16" s="1"/>
  <c r="AC204" i="16" a="1"/>
  <c r="AC204" i="16" s="1"/>
  <c r="AC205" i="16" a="1"/>
  <c r="AC205" i="16" s="1"/>
  <c r="AC206" i="16" a="1"/>
  <c r="AC206" i="16" s="1"/>
  <c r="B187" i="16"/>
  <c r="B188" i="16"/>
  <c r="B189" i="16"/>
  <c r="B190" i="16"/>
  <c r="B191" i="16"/>
  <c r="J187" i="16" a="1"/>
  <c r="J187" i="16" s="1"/>
  <c r="J188" i="16" a="1"/>
  <c r="J188" i="16" s="1"/>
  <c r="J189" i="16" a="1"/>
  <c r="J189" i="16" s="1"/>
  <c r="J190" i="16" a="1"/>
  <c r="J190" i="16" s="1"/>
  <c r="J191" i="16" a="1"/>
  <c r="J191" i="16" s="1"/>
  <c r="J192" i="16" a="1"/>
  <c r="J192" i="16" s="1"/>
  <c r="L192" i="16" s="1"/>
  <c r="N187" i="16"/>
  <c r="N188" i="16"/>
  <c r="N189" i="16"/>
  <c r="N190" i="16"/>
  <c r="N191" i="16"/>
  <c r="N192" i="16"/>
  <c r="R187" i="16"/>
  <c r="R188" i="16"/>
  <c r="R189" i="16"/>
  <c r="R190" i="16"/>
  <c r="R191" i="16"/>
  <c r="R192" i="16"/>
  <c r="AC187" i="16" a="1"/>
  <c r="AC187" i="16" s="1"/>
  <c r="AC188" i="16" a="1"/>
  <c r="AC188" i="16" s="1"/>
  <c r="AC189" i="16" a="1"/>
  <c r="AC189" i="16" s="1"/>
  <c r="AC190" i="16" a="1"/>
  <c r="AC190" i="16" s="1"/>
  <c r="AC191" i="16" a="1"/>
  <c r="AC191" i="16" s="1"/>
  <c r="AC192" i="16" a="1"/>
  <c r="AC192" i="16" s="1"/>
  <c r="B185" i="16"/>
  <c r="J185" i="16" a="1"/>
  <c r="J185" i="16" s="1"/>
  <c r="J186" i="16" a="1"/>
  <c r="J186" i="16" s="1"/>
  <c r="N185" i="16"/>
  <c r="N186" i="16"/>
  <c r="R185" i="16"/>
  <c r="R186" i="16"/>
  <c r="AC185" i="16" a="1"/>
  <c r="AC185" i="16" s="1"/>
  <c r="AC186" i="16" a="1"/>
  <c r="AC186" i="16" s="1"/>
  <c r="B176" i="16"/>
  <c r="B177" i="16"/>
  <c r="B178" i="16"/>
  <c r="B179" i="16"/>
  <c r="B180" i="16"/>
  <c r="B181" i="16"/>
  <c r="B182" i="16"/>
  <c r="B183" i="16"/>
  <c r="J176" i="16" a="1"/>
  <c r="J176" i="16" s="1"/>
  <c r="J177" i="16" a="1"/>
  <c r="J177" i="16" s="1"/>
  <c r="J178" i="16" a="1"/>
  <c r="J178" i="16" s="1"/>
  <c r="J179" i="16" a="1"/>
  <c r="J179" i="16" s="1"/>
  <c r="L179" i="16" s="1"/>
  <c r="J180" i="16" a="1"/>
  <c r="J180" i="16" s="1"/>
  <c r="J181" i="16" a="1"/>
  <c r="J181" i="16" s="1"/>
  <c r="J182" i="16" a="1"/>
  <c r="J182" i="16" s="1"/>
  <c r="J183" i="16" a="1"/>
  <c r="J183" i="16" s="1"/>
  <c r="L183" i="16" s="1"/>
  <c r="J184" i="16" a="1"/>
  <c r="J184" i="16" s="1"/>
  <c r="N176" i="16"/>
  <c r="N177" i="16"/>
  <c r="N178" i="16"/>
  <c r="N179" i="16"/>
  <c r="N180" i="16"/>
  <c r="N181" i="16"/>
  <c r="N182" i="16"/>
  <c r="N183" i="16"/>
  <c r="N184" i="16"/>
  <c r="R176" i="16"/>
  <c r="R177" i="16"/>
  <c r="R178" i="16"/>
  <c r="R179" i="16"/>
  <c r="R180" i="16"/>
  <c r="R181" i="16"/>
  <c r="R182" i="16"/>
  <c r="R183" i="16"/>
  <c r="R184" i="16"/>
  <c r="AC176" i="16" a="1"/>
  <c r="AC176" i="16" s="1"/>
  <c r="AC177" i="16" a="1"/>
  <c r="AC177" i="16" s="1"/>
  <c r="AC178" i="16" a="1"/>
  <c r="AC178" i="16" s="1"/>
  <c r="AC179" i="16" a="1"/>
  <c r="AC179" i="16" s="1"/>
  <c r="AC180" i="16" a="1"/>
  <c r="AC180" i="16" s="1"/>
  <c r="AC181" i="16" a="1"/>
  <c r="AC181" i="16" s="1"/>
  <c r="AC182" i="16" a="1"/>
  <c r="AC182" i="16" s="1"/>
  <c r="AC183" i="16" a="1"/>
  <c r="AC183" i="16" s="1"/>
  <c r="AC184" i="16" a="1"/>
  <c r="AC184" i="16" s="1"/>
  <c r="K175" i="16"/>
  <c r="K174" i="16"/>
  <c r="K173" i="16"/>
  <c r="K172" i="16"/>
  <c r="K171" i="16"/>
  <c r="K170" i="16"/>
  <c r="K169" i="16"/>
  <c r="K168" i="16"/>
  <c r="K167" i="16"/>
  <c r="K166" i="16"/>
  <c r="K165" i="16"/>
  <c r="K164" i="16"/>
  <c r="K163" i="16"/>
  <c r="K162" i="16"/>
  <c r="K161" i="16"/>
  <c r="K160" i="16"/>
  <c r="K159" i="16"/>
  <c r="K158" i="16"/>
  <c r="K157" i="16"/>
  <c r="K156" i="16"/>
  <c r="K155" i="16"/>
  <c r="J155" i="16" a="1"/>
  <c r="J155" i="16" s="1"/>
  <c r="L155" i="16" s="1"/>
  <c r="J156" i="16" a="1"/>
  <c r="J156" i="16" s="1"/>
  <c r="J157" i="16" a="1"/>
  <c r="J157" i="16" s="1"/>
  <c r="J158" i="16" a="1"/>
  <c r="J158" i="16" s="1"/>
  <c r="J159" i="16" a="1"/>
  <c r="J159" i="16" s="1"/>
  <c r="J160" i="16" a="1"/>
  <c r="J160" i="16" s="1"/>
  <c r="J161" i="16" a="1"/>
  <c r="J161" i="16" s="1"/>
  <c r="J162" i="16" a="1"/>
  <c r="J162" i="16" s="1"/>
  <c r="J163" i="16" a="1"/>
  <c r="J163" i="16" s="1"/>
  <c r="J164" i="16" a="1"/>
  <c r="J164" i="16" s="1"/>
  <c r="J165" i="16" a="1"/>
  <c r="J165" i="16" s="1"/>
  <c r="L165" i="16" s="1"/>
  <c r="J166" i="16" a="1"/>
  <c r="J166" i="16" s="1"/>
  <c r="J167" i="16" a="1"/>
  <c r="J167" i="16" s="1"/>
  <c r="J168" i="16" a="1"/>
  <c r="J168" i="16" s="1"/>
  <c r="J169" i="16" a="1"/>
  <c r="J169" i="16" s="1"/>
  <c r="J170" i="16" a="1"/>
  <c r="J170" i="16" s="1"/>
  <c r="J171" i="16" a="1"/>
  <c r="J171" i="16" s="1"/>
  <c r="J172" i="16" a="1"/>
  <c r="J172" i="16" s="1"/>
  <c r="J173" i="16" a="1"/>
  <c r="J173" i="16" s="1"/>
  <c r="J174" i="16" a="1"/>
  <c r="J174" i="16" s="1"/>
  <c r="J175" i="16" a="1"/>
  <c r="J175" i="16" s="1"/>
  <c r="B155" i="16"/>
  <c r="B156" i="16"/>
  <c r="B157" i="16"/>
  <c r="B158" i="16"/>
  <c r="B159" i="16"/>
  <c r="B160" i="16"/>
  <c r="B161" i="16"/>
  <c r="B162" i="16"/>
  <c r="B163" i="16"/>
  <c r="B164" i="16"/>
  <c r="B165" i="16"/>
  <c r="B166" i="16"/>
  <c r="B167" i="16"/>
  <c r="B168" i="16"/>
  <c r="B169" i="16"/>
  <c r="B170" i="16"/>
  <c r="B171" i="16"/>
  <c r="B172" i="16"/>
  <c r="B173" i="16"/>
  <c r="B174" i="16"/>
  <c r="N155" i="16"/>
  <c r="N156" i="16"/>
  <c r="N157" i="16"/>
  <c r="N158" i="16"/>
  <c r="N159" i="16"/>
  <c r="N160" i="16"/>
  <c r="N161" i="16"/>
  <c r="N162" i="16"/>
  <c r="N163" i="16"/>
  <c r="N164" i="16"/>
  <c r="N165" i="16"/>
  <c r="N166" i="16"/>
  <c r="N167" i="16"/>
  <c r="N168" i="16"/>
  <c r="N169" i="16"/>
  <c r="N170" i="16"/>
  <c r="N171" i="16"/>
  <c r="N172" i="16"/>
  <c r="N173" i="16"/>
  <c r="N174" i="16"/>
  <c r="N175" i="16"/>
  <c r="R155" i="16"/>
  <c r="R156" i="16"/>
  <c r="R157" i="16"/>
  <c r="R158" i="16"/>
  <c r="R159" i="16"/>
  <c r="R160" i="16"/>
  <c r="R161" i="16"/>
  <c r="R162" i="16"/>
  <c r="R163" i="16"/>
  <c r="R164" i="16"/>
  <c r="R165" i="16"/>
  <c r="R166" i="16"/>
  <c r="R167" i="16"/>
  <c r="R168" i="16"/>
  <c r="R169" i="16"/>
  <c r="R170" i="16"/>
  <c r="R171" i="16"/>
  <c r="R172" i="16"/>
  <c r="R173" i="16"/>
  <c r="R174" i="16"/>
  <c r="R175" i="16"/>
  <c r="AC155" i="16" a="1"/>
  <c r="AC155" i="16" s="1"/>
  <c r="AC156" i="16" a="1"/>
  <c r="AC156" i="16" s="1"/>
  <c r="AC157" i="16" a="1"/>
  <c r="AC157" i="16" s="1"/>
  <c r="AC158" i="16" a="1"/>
  <c r="AC158" i="16" s="1"/>
  <c r="AC159" i="16" a="1"/>
  <c r="AC159" i="16" s="1"/>
  <c r="AC160" i="16" a="1"/>
  <c r="AC160" i="16" s="1"/>
  <c r="AC161" i="16" a="1"/>
  <c r="AC161" i="16" s="1"/>
  <c r="AC162" i="16" a="1"/>
  <c r="AC162" i="16" s="1"/>
  <c r="AC163" i="16" a="1"/>
  <c r="AC163" i="16" s="1"/>
  <c r="AC164" i="16" a="1"/>
  <c r="AC164" i="16" s="1"/>
  <c r="AC165" i="16" a="1"/>
  <c r="AC165" i="16" s="1"/>
  <c r="AC166" i="16" a="1"/>
  <c r="AC166" i="16" s="1"/>
  <c r="AC167" i="16" a="1"/>
  <c r="AC167" i="16" s="1"/>
  <c r="AC168" i="16" a="1"/>
  <c r="AC168" i="16" s="1"/>
  <c r="AC169" i="16" a="1"/>
  <c r="AC169" i="16" s="1"/>
  <c r="AC170" i="16" a="1"/>
  <c r="AC170" i="16" s="1"/>
  <c r="AC171" i="16" a="1"/>
  <c r="AC171" i="16" s="1"/>
  <c r="AC172" i="16" a="1"/>
  <c r="AC172" i="16" s="1"/>
  <c r="AC173" i="16" a="1"/>
  <c r="AC173" i="16" s="1"/>
  <c r="AC174" i="16" a="1"/>
  <c r="AC174" i="16" s="1"/>
  <c r="AC175" i="16" a="1"/>
  <c r="AC175" i="16" s="1"/>
  <c r="AC154" i="31" a="1"/>
  <c r="AC154" i="31" s="1"/>
  <c r="R154" i="31"/>
  <c r="N154" i="31"/>
  <c r="K154" i="31"/>
  <c r="J154" i="31" a="1"/>
  <c r="J154" i="31" s="1"/>
  <c r="B154" i="31"/>
  <c r="AC153" i="31"/>
  <c r="AC153" i="31" a="1"/>
  <c r="R153" i="31"/>
  <c r="N153" i="31"/>
  <c r="K153" i="31"/>
  <c r="J153" i="31" a="1"/>
  <c r="J153" i="31" s="1"/>
  <c r="B153" i="31"/>
  <c r="AC152" i="31" a="1"/>
  <c r="AC152" i="31" s="1"/>
  <c r="R152" i="31"/>
  <c r="N152" i="31"/>
  <c r="K152" i="31"/>
  <c r="J152" i="31"/>
  <c r="J152" i="31" a="1"/>
  <c r="B152" i="31"/>
  <c r="AC151" i="31" a="1"/>
  <c r="AC151" i="31" s="1"/>
  <c r="R151" i="31"/>
  <c r="N151" i="31"/>
  <c r="L151" i="31"/>
  <c r="K151" i="31"/>
  <c r="T151" i="31" s="1"/>
  <c r="J151" i="31"/>
  <c r="J151" i="31" a="1"/>
  <c r="B151" i="31"/>
  <c r="AC150" i="31" a="1"/>
  <c r="AC150" i="31" s="1"/>
  <c r="R150" i="31"/>
  <c r="N150" i="31"/>
  <c r="L150" i="31"/>
  <c r="K150" i="31"/>
  <c r="T150" i="31" s="1"/>
  <c r="J150" i="31"/>
  <c r="J150" i="31" a="1"/>
  <c r="B150" i="31"/>
  <c r="AC149" i="31"/>
  <c r="AC149" i="31" a="1"/>
  <c r="R149" i="31"/>
  <c r="N149" i="31"/>
  <c r="K149" i="31"/>
  <c r="J149" i="31" a="1"/>
  <c r="J149" i="31" s="1"/>
  <c r="B149" i="31"/>
  <c r="AC148" i="31" a="1"/>
  <c r="AC148" i="31" s="1"/>
  <c r="R148" i="31"/>
  <c r="N148" i="31"/>
  <c r="K148" i="31"/>
  <c r="J148" i="31" a="1"/>
  <c r="J148" i="31" s="1"/>
  <c r="B148" i="31"/>
  <c r="AC147" i="31" a="1"/>
  <c r="AC147" i="31" s="1"/>
  <c r="R147" i="31"/>
  <c r="N147" i="31"/>
  <c r="K147" i="31"/>
  <c r="J147" i="31" a="1"/>
  <c r="J147" i="31" s="1"/>
  <c r="B147" i="31"/>
  <c r="AC146" i="31" a="1"/>
  <c r="AC146" i="31" s="1"/>
  <c r="R146" i="31"/>
  <c r="N146" i="31"/>
  <c r="K146" i="31"/>
  <c r="J146" i="31" a="1"/>
  <c r="J146" i="31" s="1"/>
  <c r="B146" i="31"/>
  <c r="AC145" i="31"/>
  <c r="AC145" i="31" a="1"/>
  <c r="R145" i="31"/>
  <c r="N145" i="31"/>
  <c r="K145" i="31"/>
  <c r="J145" i="31" a="1"/>
  <c r="J145" i="31" s="1"/>
  <c r="B145" i="31"/>
  <c r="AC144" i="31" a="1"/>
  <c r="AC144" i="31" s="1"/>
  <c r="R144" i="31"/>
  <c r="N144" i="31"/>
  <c r="K144" i="31"/>
  <c r="J144" i="31" a="1"/>
  <c r="J144" i="31" s="1"/>
  <c r="B144" i="31"/>
  <c r="AC143" i="31"/>
  <c r="AC143" i="31" a="1"/>
  <c r="R143" i="31"/>
  <c r="N143" i="31"/>
  <c r="K143" i="31"/>
  <c r="J143" i="31" a="1"/>
  <c r="J143" i="31" s="1"/>
  <c r="L143" i="31" s="1"/>
  <c r="B143" i="31"/>
  <c r="AC142" i="31"/>
  <c r="AC142" i="31" a="1"/>
  <c r="R142" i="31"/>
  <c r="N142" i="31"/>
  <c r="K142" i="31"/>
  <c r="T142" i="31" s="1"/>
  <c r="J142" i="31" a="1"/>
  <c r="J142" i="31" s="1"/>
  <c r="L142" i="31" s="1"/>
  <c r="B142" i="31"/>
  <c r="AC141" i="31" a="1"/>
  <c r="AC141" i="31" s="1"/>
  <c r="R141" i="31"/>
  <c r="N141" i="31"/>
  <c r="L141" i="31"/>
  <c r="K141" i="31"/>
  <c r="T141" i="31" s="1"/>
  <c r="J141" i="31" a="1"/>
  <c r="J141" i="31" s="1"/>
  <c r="B141" i="31"/>
  <c r="AC140" i="31" a="1"/>
  <c r="AC140" i="31" s="1"/>
  <c r="R140" i="31"/>
  <c r="N140" i="31"/>
  <c r="L140" i="31"/>
  <c r="K140" i="31"/>
  <c r="T140" i="31" s="1"/>
  <c r="J140" i="31"/>
  <c r="J140" i="31" a="1"/>
  <c r="B140" i="31"/>
  <c r="AC139" i="31" a="1"/>
  <c r="AC139" i="31" s="1"/>
  <c r="R139" i="31"/>
  <c r="N139" i="31"/>
  <c r="L139" i="31"/>
  <c r="K139" i="31"/>
  <c r="T139" i="31" s="1"/>
  <c r="J139" i="31"/>
  <c r="J139" i="31" a="1"/>
  <c r="B139" i="31"/>
  <c r="AC138" i="31" a="1"/>
  <c r="AC138" i="31" s="1"/>
  <c r="R138" i="31"/>
  <c r="N138" i="31"/>
  <c r="L138" i="31"/>
  <c r="K138" i="31"/>
  <c r="T138" i="31" s="1"/>
  <c r="J138" i="31" a="1"/>
  <c r="J138" i="31" s="1"/>
  <c r="B138" i="31"/>
  <c r="AC137" i="31" a="1"/>
  <c r="AC137" i="31" s="1"/>
  <c r="R137" i="31"/>
  <c r="N137" i="31"/>
  <c r="K137" i="31"/>
  <c r="T137" i="31" s="1"/>
  <c r="U137" i="31" s="1"/>
  <c r="V137" i="31" s="1"/>
  <c r="J137" i="31" a="1"/>
  <c r="J137" i="31" s="1"/>
  <c r="L137" i="31" s="1"/>
  <c r="B137" i="31"/>
  <c r="AC136" i="31" a="1"/>
  <c r="AC136" i="31" s="1"/>
  <c r="R136" i="31"/>
  <c r="N136" i="31"/>
  <c r="K136" i="31"/>
  <c r="J136" i="31"/>
  <c r="L136" i="31" s="1"/>
  <c r="J136" i="31" a="1"/>
  <c r="B136" i="31"/>
  <c r="AC135" i="31" a="1"/>
  <c r="AC135" i="31" s="1"/>
  <c r="R135" i="31"/>
  <c r="N135" i="31"/>
  <c r="K135" i="31"/>
  <c r="J135" i="31"/>
  <c r="L135" i="31" s="1"/>
  <c r="J135" i="31" a="1"/>
  <c r="B135" i="31"/>
  <c r="AC134" i="31" a="1"/>
  <c r="AC134" i="31" s="1"/>
  <c r="R134" i="31"/>
  <c r="N134" i="31"/>
  <c r="K134" i="31"/>
  <c r="J134" i="31"/>
  <c r="J134" i="31" a="1"/>
  <c r="B134" i="31"/>
  <c r="AC133" i="31" a="1"/>
  <c r="AC133" i="31" s="1"/>
  <c r="R133" i="31"/>
  <c r="N133" i="31"/>
  <c r="K133" i="31"/>
  <c r="J133" i="31" a="1"/>
  <c r="J133" i="31" s="1"/>
  <c r="B133" i="31"/>
  <c r="AC132" i="31" a="1"/>
  <c r="AC132" i="31" s="1"/>
  <c r="R132" i="31"/>
  <c r="N132" i="31"/>
  <c r="K132" i="31"/>
  <c r="J132" i="31" a="1"/>
  <c r="J132" i="31" s="1"/>
  <c r="B132" i="31"/>
  <c r="AC131" i="31"/>
  <c r="AC131" i="31" a="1"/>
  <c r="R131" i="31"/>
  <c r="N131" i="31"/>
  <c r="K131" i="31"/>
  <c r="J131" i="31" a="1"/>
  <c r="J131" i="31" s="1"/>
  <c r="B131" i="31"/>
  <c r="AC130" i="31"/>
  <c r="AC130" i="31" a="1"/>
  <c r="R130" i="31"/>
  <c r="N130" i="31"/>
  <c r="K130" i="31"/>
  <c r="J130" i="31" a="1"/>
  <c r="J130" i="31" s="1"/>
  <c r="B130" i="31"/>
  <c r="AC129" i="31" a="1"/>
  <c r="AC129" i="31" s="1"/>
  <c r="R129" i="31"/>
  <c r="N129" i="31"/>
  <c r="K129" i="31"/>
  <c r="J129" i="31"/>
  <c r="J129" i="31" a="1"/>
  <c r="B129" i="31"/>
  <c r="AC128" i="31" a="1"/>
  <c r="AC128" i="31" s="1"/>
  <c r="R128" i="31"/>
  <c r="N128" i="31"/>
  <c r="K128" i="31"/>
  <c r="J128" i="31"/>
  <c r="J128" i="31" a="1"/>
  <c r="B128" i="31"/>
  <c r="AC127" i="31"/>
  <c r="AC127" i="31" a="1"/>
  <c r="R127" i="31"/>
  <c r="N127" i="31"/>
  <c r="L127" i="31"/>
  <c r="K127" i="31"/>
  <c r="T127" i="31" s="1"/>
  <c r="U127" i="31" s="1"/>
  <c r="V127" i="31" s="1"/>
  <c r="J127" i="31"/>
  <c r="J127" i="31" a="1"/>
  <c r="B127" i="31"/>
  <c r="AC126" i="31"/>
  <c r="AC126" i="31" a="1"/>
  <c r="R126" i="31"/>
  <c r="N126" i="31"/>
  <c r="K126" i="31"/>
  <c r="J126" i="31" a="1"/>
  <c r="J126" i="31" s="1"/>
  <c r="B126" i="31"/>
  <c r="AC125" i="31"/>
  <c r="AC125" i="31" a="1"/>
  <c r="R125" i="31"/>
  <c r="N125" i="31"/>
  <c r="K125" i="31"/>
  <c r="J125" i="31" a="1"/>
  <c r="J125" i="31" s="1"/>
  <c r="L125" i="31" s="1"/>
  <c r="B125" i="31"/>
  <c r="AC124" i="31" a="1"/>
  <c r="AC124" i="31" s="1"/>
  <c r="R124" i="31"/>
  <c r="N124" i="31"/>
  <c r="K124" i="31"/>
  <c r="J124" i="31" a="1"/>
  <c r="J124" i="31" s="1"/>
  <c r="B124" i="31"/>
  <c r="AC123" i="31" a="1"/>
  <c r="AC123" i="31" s="1"/>
  <c r="R123" i="31"/>
  <c r="N123" i="31"/>
  <c r="K123" i="31"/>
  <c r="J123" i="31" a="1"/>
  <c r="J123" i="31" s="1"/>
  <c r="B123" i="31"/>
  <c r="AC122" i="31" a="1"/>
  <c r="AC122" i="31" s="1"/>
  <c r="R122" i="31"/>
  <c r="N122" i="31"/>
  <c r="K122" i="31"/>
  <c r="J122" i="31" a="1"/>
  <c r="J122" i="31" s="1"/>
  <c r="B122" i="31"/>
  <c r="AC121" i="31"/>
  <c r="AC121" i="31" a="1"/>
  <c r="R121" i="31"/>
  <c r="N121" i="31"/>
  <c r="K121" i="31"/>
  <c r="J121" i="31" a="1"/>
  <c r="J121" i="31" s="1"/>
  <c r="B121" i="31"/>
  <c r="AC120" i="31"/>
  <c r="AC120" i="31" a="1"/>
  <c r="R120" i="31"/>
  <c r="N120" i="31"/>
  <c r="K120" i="31"/>
  <c r="J120" i="31" a="1"/>
  <c r="J120" i="31" s="1"/>
  <c r="B120" i="31"/>
  <c r="AC119" i="31"/>
  <c r="AC119" i="31" a="1"/>
  <c r="R119" i="31"/>
  <c r="N119" i="31"/>
  <c r="K119" i="31"/>
  <c r="J119" i="31" a="1"/>
  <c r="J119" i="31" s="1"/>
  <c r="B119" i="31"/>
  <c r="AC118" i="31"/>
  <c r="AC118" i="31" a="1"/>
  <c r="R118" i="31"/>
  <c r="N118" i="31"/>
  <c r="L118" i="31"/>
  <c r="K118" i="31"/>
  <c r="J118" i="31" a="1"/>
  <c r="J118" i="31" s="1"/>
  <c r="B118" i="31"/>
  <c r="AC117" i="31" a="1"/>
  <c r="AC117" i="31" s="1"/>
  <c r="R117" i="31"/>
  <c r="N117" i="31"/>
  <c r="J117" i="31" a="1"/>
  <c r="J117" i="31" s="1"/>
  <c r="B117" i="31"/>
  <c r="AC116" i="31"/>
  <c r="AC116" i="31" a="1"/>
  <c r="R116" i="31"/>
  <c r="N116" i="31"/>
  <c r="J116" i="31" a="1"/>
  <c r="J116" i="31" s="1"/>
  <c r="B116" i="31"/>
  <c r="AC115" i="31"/>
  <c r="AC115" i="31" a="1"/>
  <c r="R115" i="31"/>
  <c r="N115" i="31"/>
  <c r="J115" i="31" a="1"/>
  <c r="J115" i="31" s="1"/>
  <c r="B115" i="31"/>
  <c r="AC114" i="31" a="1"/>
  <c r="AC114" i="31" s="1"/>
  <c r="R114" i="31"/>
  <c r="N114" i="31"/>
  <c r="J114" i="31"/>
  <c r="T114" i="31" s="1"/>
  <c r="J114" i="31" a="1"/>
  <c r="B114" i="31"/>
  <c r="AC113" i="31" a="1"/>
  <c r="AC113" i="31" s="1"/>
  <c r="R113" i="31"/>
  <c r="N113" i="31"/>
  <c r="J113" i="31" a="1"/>
  <c r="J113" i="31" s="1"/>
  <c r="B113" i="31"/>
  <c r="AC112" i="31"/>
  <c r="AC112" i="31" a="1"/>
  <c r="R112" i="31"/>
  <c r="N112" i="31"/>
  <c r="J112" i="31" a="1"/>
  <c r="J112" i="31" s="1"/>
  <c r="B112" i="31"/>
  <c r="AC111" i="31"/>
  <c r="AC111" i="31" a="1"/>
  <c r="R111" i="31"/>
  <c r="N111" i="31"/>
  <c r="J111" i="31" a="1"/>
  <c r="J111" i="31" s="1"/>
  <c r="B111" i="31"/>
  <c r="AC110" i="31" a="1"/>
  <c r="AC110" i="31" s="1"/>
  <c r="R110" i="31"/>
  <c r="N110" i="31"/>
  <c r="J110" i="31" a="1"/>
  <c r="J110" i="31" s="1"/>
  <c r="L110" i="31" s="1"/>
  <c r="B110" i="31"/>
  <c r="AC109" i="31" a="1"/>
  <c r="AC109" i="31" s="1"/>
  <c r="T109" i="31"/>
  <c r="R109" i="31"/>
  <c r="N109" i="31"/>
  <c r="J109" i="31" a="1"/>
  <c r="J109" i="31" s="1"/>
  <c r="L109" i="31" s="1"/>
  <c r="B109" i="31"/>
  <c r="AC108" i="31" a="1"/>
  <c r="AC108" i="31" s="1"/>
  <c r="T108" i="31"/>
  <c r="R108" i="31"/>
  <c r="U108" i="31" s="1"/>
  <c r="N108" i="31"/>
  <c r="L108" i="31"/>
  <c r="J108" i="31"/>
  <c r="J108" i="31" a="1"/>
  <c r="B108" i="31"/>
  <c r="AC107" i="31" a="1"/>
  <c r="AC107" i="31" s="1"/>
  <c r="T107" i="31"/>
  <c r="R107" i="31"/>
  <c r="N107" i="31"/>
  <c r="L107" i="31"/>
  <c r="J107" i="31"/>
  <c r="J107" i="31" a="1"/>
  <c r="B107" i="31"/>
  <c r="AC106" i="31" a="1"/>
  <c r="AC106" i="31" s="1"/>
  <c r="R106" i="31"/>
  <c r="N106" i="31"/>
  <c r="J106" i="31" a="1"/>
  <c r="J106" i="31" s="1"/>
  <c r="L106" i="31" s="1"/>
  <c r="B106" i="31"/>
  <c r="AC105" i="31" a="1"/>
  <c r="AC105" i="31" s="1"/>
  <c r="T105" i="31"/>
  <c r="R105" i="31"/>
  <c r="N105" i="31"/>
  <c r="J105" i="31" a="1"/>
  <c r="J105" i="31" s="1"/>
  <c r="L105" i="31" s="1"/>
  <c r="B105" i="31"/>
  <c r="AC104" i="31" a="1"/>
  <c r="AC104" i="31" s="1"/>
  <c r="R104" i="31"/>
  <c r="N104" i="31"/>
  <c r="L104" i="31"/>
  <c r="J104" i="31" a="1"/>
  <c r="J104" i="31" s="1"/>
  <c r="T104" i="31" s="1"/>
  <c r="B104" i="31"/>
  <c r="AC103" i="31" a="1"/>
  <c r="AC103" i="31" s="1"/>
  <c r="R103" i="31"/>
  <c r="N103" i="31"/>
  <c r="L103" i="31"/>
  <c r="J103" i="31" a="1"/>
  <c r="J103" i="31" s="1"/>
  <c r="T103" i="31" s="1"/>
  <c r="B103" i="31"/>
  <c r="AC102" i="31"/>
  <c r="AC102" i="31" a="1"/>
  <c r="R102" i="31"/>
  <c r="N102" i="31"/>
  <c r="J102" i="31" a="1"/>
  <c r="J102" i="31" s="1"/>
  <c r="T102" i="31" s="1"/>
  <c r="B102" i="31"/>
  <c r="AC101" i="31"/>
  <c r="AC101" i="31" a="1"/>
  <c r="R101" i="31"/>
  <c r="N101" i="31"/>
  <c r="J101" i="31" a="1"/>
  <c r="J101" i="31" s="1"/>
  <c r="B101" i="31"/>
  <c r="AC100" i="31" a="1"/>
  <c r="AC100" i="31" s="1"/>
  <c r="V100" i="31"/>
  <c r="R100" i="31"/>
  <c r="N100" i="31"/>
  <c r="J100" i="31" a="1"/>
  <c r="J100" i="31" s="1"/>
  <c r="T100" i="31" s="1"/>
  <c r="U100" i="31" s="1"/>
  <c r="B100" i="31"/>
  <c r="AC99" i="31" a="1"/>
  <c r="AC99" i="31" s="1"/>
  <c r="R99" i="31"/>
  <c r="N99" i="31"/>
  <c r="J99" i="31" a="1"/>
  <c r="J99" i="31" s="1"/>
  <c r="T99" i="31" s="1"/>
  <c r="U99" i="31" s="1"/>
  <c r="V99" i="31" s="1"/>
  <c r="B99" i="31"/>
  <c r="AC98" i="31"/>
  <c r="AC98" i="31" a="1"/>
  <c r="T98" i="31"/>
  <c r="U98" i="31" s="1"/>
  <c r="V98" i="31" s="1"/>
  <c r="R98" i="31"/>
  <c r="N98" i="31"/>
  <c r="J98" i="31" a="1"/>
  <c r="J98" i="31" s="1"/>
  <c r="L98" i="31" s="1"/>
  <c r="B98" i="31"/>
  <c r="AC97" i="31"/>
  <c r="AC97" i="31" a="1"/>
  <c r="T97" i="31"/>
  <c r="R97" i="31"/>
  <c r="N97" i="31"/>
  <c r="L97" i="31"/>
  <c r="J97" i="31" a="1"/>
  <c r="J97" i="31" s="1"/>
  <c r="B97" i="31"/>
  <c r="AC96" i="31" a="1"/>
  <c r="AC96" i="31" s="1"/>
  <c r="U96" i="31"/>
  <c r="V96" i="31" s="1"/>
  <c r="T96" i="31"/>
  <c r="R96" i="31"/>
  <c r="N96" i="31"/>
  <c r="L96" i="31"/>
  <c r="J96" i="31" a="1"/>
  <c r="J96" i="31" s="1"/>
  <c r="B96" i="31"/>
  <c r="AC95" i="31" a="1"/>
  <c r="AC95" i="31" s="1"/>
  <c r="T95" i="31"/>
  <c r="R95" i="31"/>
  <c r="N95" i="31"/>
  <c r="L95" i="31"/>
  <c r="J95" i="31" a="1"/>
  <c r="J95" i="31" s="1"/>
  <c r="B95" i="31"/>
  <c r="AC94" i="31" a="1"/>
  <c r="AC94" i="31" s="1"/>
  <c r="R94" i="31"/>
  <c r="N94" i="31"/>
  <c r="L94" i="31"/>
  <c r="J94" i="31" a="1"/>
  <c r="J94" i="31" s="1"/>
  <c r="T94" i="31" s="1"/>
  <c r="B94" i="31"/>
  <c r="AC93" i="31" a="1"/>
  <c r="AC93" i="31" s="1"/>
  <c r="R93" i="31"/>
  <c r="N93" i="31"/>
  <c r="J93" i="31" a="1"/>
  <c r="J93" i="31" s="1"/>
  <c r="T93" i="31" s="1"/>
  <c r="B93" i="31"/>
  <c r="AC92" i="31" a="1"/>
  <c r="AC92" i="31" s="1"/>
  <c r="R92" i="31"/>
  <c r="N92" i="31"/>
  <c r="J92" i="31" a="1"/>
  <c r="J92" i="31" s="1"/>
  <c r="T92" i="31" s="1"/>
  <c r="B92" i="31"/>
  <c r="AC91" i="31"/>
  <c r="AC91" i="31" a="1"/>
  <c r="R91" i="31"/>
  <c r="N91" i="31"/>
  <c r="J91" i="31"/>
  <c r="T91" i="31" s="1"/>
  <c r="J91" i="31" a="1"/>
  <c r="B91" i="31"/>
  <c r="AC90" i="31" a="1"/>
  <c r="AC90" i="31" s="1"/>
  <c r="R90" i="31"/>
  <c r="N90" i="31"/>
  <c r="J90" i="31" a="1"/>
  <c r="J90" i="31" s="1"/>
  <c r="B90" i="31"/>
  <c r="AC89" i="31"/>
  <c r="AC89" i="31" a="1"/>
  <c r="R89" i="31"/>
  <c r="N89" i="31"/>
  <c r="J89" i="31" a="1"/>
  <c r="J89" i="31" s="1"/>
  <c r="B89" i="31"/>
  <c r="AC88" i="31" a="1"/>
  <c r="AC88" i="31" s="1"/>
  <c r="R88" i="31"/>
  <c r="N88" i="31"/>
  <c r="J88" i="31" a="1"/>
  <c r="J88" i="31" s="1"/>
  <c r="L88" i="31" s="1"/>
  <c r="B88" i="31"/>
  <c r="AC87" i="31"/>
  <c r="AC87" i="31" a="1"/>
  <c r="R87" i="31"/>
  <c r="N87" i="31"/>
  <c r="J87" i="31"/>
  <c r="T87" i="31" s="1"/>
  <c r="J87" i="31" a="1"/>
  <c r="B87" i="31"/>
  <c r="AC86" i="31" a="1"/>
  <c r="AC86" i="31" s="1"/>
  <c r="R86" i="31"/>
  <c r="N86" i="31"/>
  <c r="J86" i="31" a="1"/>
  <c r="J86" i="31" s="1"/>
  <c r="B86" i="31"/>
  <c r="AC85" i="31"/>
  <c r="AC85" i="31" a="1"/>
  <c r="R85" i="31"/>
  <c r="N85" i="31"/>
  <c r="J85" i="31" a="1"/>
  <c r="J85" i="31" s="1"/>
  <c r="B85" i="31"/>
  <c r="AC84" i="31" a="1"/>
  <c r="AC84" i="31" s="1"/>
  <c r="R84" i="31"/>
  <c r="N84" i="31"/>
  <c r="J84" i="31" a="1"/>
  <c r="J84" i="31" s="1"/>
  <c r="B84" i="31"/>
  <c r="AC83" i="31" a="1"/>
  <c r="AC83" i="31" s="1"/>
  <c r="R83" i="31"/>
  <c r="N83" i="31"/>
  <c r="J83" i="31"/>
  <c r="L83" i="31" s="1"/>
  <c r="J83" i="31" a="1"/>
  <c r="B83" i="31"/>
  <c r="AC82" i="31" a="1"/>
  <c r="AC82" i="31" s="1"/>
  <c r="T82" i="31"/>
  <c r="R82" i="31"/>
  <c r="N82" i="31"/>
  <c r="J82" i="31" a="1"/>
  <c r="J82" i="31" s="1"/>
  <c r="L82" i="31" s="1"/>
  <c r="B82" i="31"/>
  <c r="AC81" i="31"/>
  <c r="AC81" i="31" a="1"/>
  <c r="T81" i="31"/>
  <c r="R81" i="31"/>
  <c r="N81" i="31"/>
  <c r="J81" i="31"/>
  <c r="L81" i="31" s="1"/>
  <c r="J81" i="31" a="1"/>
  <c r="B81" i="31"/>
  <c r="AC80" i="31" a="1"/>
  <c r="AC80" i="31" s="1"/>
  <c r="R80" i="31"/>
  <c r="N80" i="31"/>
  <c r="J80" i="31" a="1"/>
  <c r="J80" i="31" s="1"/>
  <c r="T80" i="31" s="1"/>
  <c r="U80" i="31" s="1"/>
  <c r="V80" i="31" s="1"/>
  <c r="B80" i="31"/>
  <c r="AC79" i="31" a="1"/>
  <c r="AC79" i="31" s="1"/>
  <c r="V79" i="31"/>
  <c r="U79" i="31"/>
  <c r="T79" i="31"/>
  <c r="R79" i="31"/>
  <c r="N79" i="31"/>
  <c r="J79" i="31"/>
  <c r="L79" i="31" s="1"/>
  <c r="J79" i="31" a="1"/>
  <c r="B79" i="31"/>
  <c r="AC78" i="31" a="1"/>
  <c r="AC78" i="31" s="1"/>
  <c r="R78" i="31"/>
  <c r="N78" i="31"/>
  <c r="J78" i="31" a="1"/>
  <c r="J78" i="31" s="1"/>
  <c r="L78" i="31" s="1"/>
  <c r="B78" i="31"/>
  <c r="AC77" i="31"/>
  <c r="AC77" i="31" a="1"/>
  <c r="T77" i="31"/>
  <c r="R77" i="31"/>
  <c r="N77" i="31"/>
  <c r="L77" i="31"/>
  <c r="J77" i="31"/>
  <c r="J77" i="31" a="1"/>
  <c r="B77" i="31"/>
  <c r="AC76" i="31" a="1"/>
  <c r="AC76" i="31" s="1"/>
  <c r="R76" i="31"/>
  <c r="N76" i="31"/>
  <c r="J76" i="31" a="1"/>
  <c r="J76" i="31" s="1"/>
  <c r="B76" i="31"/>
  <c r="AC75" i="31"/>
  <c r="AC75" i="31" a="1"/>
  <c r="R75" i="31"/>
  <c r="N75" i="31"/>
  <c r="J75" i="31" a="1"/>
  <c r="J75" i="31" s="1"/>
  <c r="B75" i="31"/>
  <c r="AC74" i="31" a="1"/>
  <c r="AC74" i="31" s="1"/>
  <c r="R74" i="31"/>
  <c r="N74" i="31"/>
  <c r="J74" i="31" a="1"/>
  <c r="J74" i="31" s="1"/>
  <c r="B74" i="31"/>
  <c r="AC73" i="31" a="1"/>
  <c r="AC73" i="31" s="1"/>
  <c r="V73" i="31"/>
  <c r="R73" i="31"/>
  <c r="U73" i="31" s="1"/>
  <c r="N73" i="31"/>
  <c r="L73" i="31"/>
  <c r="J73" i="31"/>
  <c r="T73" i="31" s="1"/>
  <c r="J73" i="31" a="1"/>
  <c r="B73" i="31"/>
  <c r="AC72" i="31" a="1"/>
  <c r="AC72" i="31" s="1"/>
  <c r="R72" i="31"/>
  <c r="N72" i="31"/>
  <c r="L72" i="31"/>
  <c r="J72" i="31"/>
  <c r="T72" i="31" s="1"/>
  <c r="U72" i="31" s="1"/>
  <c r="V72" i="31" s="1"/>
  <c r="J72" i="31" a="1"/>
  <c r="B72" i="31"/>
  <c r="AC71" i="31"/>
  <c r="AC71" i="31" a="1"/>
  <c r="R71" i="31"/>
  <c r="N71" i="31"/>
  <c r="J71" i="31" a="1"/>
  <c r="J71" i="31" s="1"/>
  <c r="B71" i="31"/>
  <c r="AC70" i="31" a="1"/>
  <c r="AC70" i="31" s="1"/>
  <c r="R70" i="31"/>
  <c r="N70" i="31"/>
  <c r="J70" i="31" a="1"/>
  <c r="J70" i="31" s="1"/>
  <c r="B70" i="31"/>
  <c r="AC69" i="31" a="1"/>
  <c r="AC69" i="31" s="1"/>
  <c r="T69" i="31"/>
  <c r="U69" i="31" s="1"/>
  <c r="V69" i="31" s="1"/>
  <c r="R69" i="31"/>
  <c r="N69" i="31"/>
  <c r="J69" i="31"/>
  <c r="L69" i="31" s="1"/>
  <c r="J69" i="31" a="1"/>
  <c r="B69" i="31"/>
  <c r="AC68" i="31" a="1"/>
  <c r="AC68" i="31" s="1"/>
  <c r="T68" i="31"/>
  <c r="R68" i="31"/>
  <c r="N68" i="31"/>
  <c r="L68" i="31"/>
  <c r="J68" i="31" a="1"/>
  <c r="J68" i="31" s="1"/>
  <c r="B68" i="31"/>
  <c r="AC67" i="31" a="1"/>
  <c r="AC67" i="31" s="1"/>
  <c r="T67" i="31"/>
  <c r="R67" i="31"/>
  <c r="U67" i="31" s="1"/>
  <c r="N67" i="31"/>
  <c r="J67" i="31"/>
  <c r="L67" i="31" s="1"/>
  <c r="J67" i="31" a="1"/>
  <c r="B67" i="31"/>
  <c r="AC66" i="31" a="1"/>
  <c r="AC66" i="31" s="1"/>
  <c r="R66" i="31"/>
  <c r="N66" i="31"/>
  <c r="J66" i="31" a="1"/>
  <c r="J66" i="31" s="1"/>
  <c r="B66" i="31"/>
  <c r="AC65" i="31"/>
  <c r="AC65" i="31" a="1"/>
  <c r="R65" i="31"/>
  <c r="N65" i="31"/>
  <c r="J65" i="31" a="1"/>
  <c r="J65" i="31" s="1"/>
  <c r="B65" i="31"/>
  <c r="AC64" i="31" a="1"/>
  <c r="AC64" i="31" s="1"/>
  <c r="R64" i="31"/>
  <c r="N64" i="31"/>
  <c r="J64" i="31" a="1"/>
  <c r="J64" i="31" s="1"/>
  <c r="B64" i="31"/>
  <c r="AC63" i="31"/>
  <c r="AC63" i="31" a="1"/>
  <c r="R63" i="31"/>
  <c r="N63" i="31"/>
  <c r="J63" i="31" a="1"/>
  <c r="J63" i="31" s="1"/>
  <c r="L63" i="31" s="1"/>
  <c r="B63" i="31"/>
  <c r="AC62" i="31" a="1"/>
  <c r="AC62" i="31" s="1"/>
  <c r="R62" i="31"/>
  <c r="N62" i="31"/>
  <c r="J62" i="31" a="1"/>
  <c r="J62" i="31" s="1"/>
  <c r="B62" i="31"/>
  <c r="AC61" i="31" a="1"/>
  <c r="AC61" i="31" s="1"/>
  <c r="R61" i="31"/>
  <c r="N61" i="31"/>
  <c r="J61" i="31" a="1"/>
  <c r="J61" i="31" s="1"/>
  <c r="B61" i="31"/>
  <c r="AC60" i="31" a="1"/>
  <c r="AC60" i="31" s="1"/>
  <c r="R60" i="31"/>
  <c r="N60" i="31"/>
  <c r="J60" i="31" a="1"/>
  <c r="J60" i="31" s="1"/>
  <c r="B60" i="31"/>
  <c r="AC59" i="31"/>
  <c r="AC59" i="31" a="1"/>
  <c r="R59" i="31"/>
  <c r="N59" i="31"/>
  <c r="J59" i="31" a="1"/>
  <c r="J59" i="31" s="1"/>
  <c r="B59" i="31"/>
  <c r="AC58" i="31" a="1"/>
  <c r="AC58" i="31" s="1"/>
  <c r="U58" i="31"/>
  <c r="T58" i="31"/>
  <c r="R58" i="31"/>
  <c r="V58" i="31" s="1"/>
  <c r="N58" i="31"/>
  <c r="J58" i="31" a="1"/>
  <c r="J58" i="31" s="1"/>
  <c r="L58" i="31" s="1"/>
  <c r="B58" i="31"/>
  <c r="AC57" i="31" a="1"/>
  <c r="AC57" i="31" s="1"/>
  <c r="T57" i="31"/>
  <c r="R57" i="31"/>
  <c r="N57" i="31"/>
  <c r="J57" i="31"/>
  <c r="L57" i="31" s="1"/>
  <c r="J57" i="31" a="1"/>
  <c r="B57" i="31"/>
  <c r="AC56" i="31" a="1"/>
  <c r="AC56" i="31" s="1"/>
  <c r="T56" i="31"/>
  <c r="R56" i="31"/>
  <c r="N56" i="31"/>
  <c r="J56" i="31" a="1"/>
  <c r="J56" i="31" s="1"/>
  <c r="L56" i="31" s="1"/>
  <c r="B56" i="31"/>
  <c r="AC55" i="31"/>
  <c r="AC55" i="31" a="1"/>
  <c r="R55" i="31"/>
  <c r="N55" i="31"/>
  <c r="J55" i="31" a="1"/>
  <c r="J55" i="31" s="1"/>
  <c r="T55" i="31" s="1"/>
  <c r="B55" i="31"/>
  <c r="AC54" i="31" a="1"/>
  <c r="AC54" i="31" s="1"/>
  <c r="R54" i="31"/>
  <c r="N54" i="31"/>
  <c r="J54" i="31"/>
  <c r="T54" i="31" s="1"/>
  <c r="J54" i="31" a="1"/>
  <c r="B54" i="31"/>
  <c r="AC53" i="31" a="1"/>
  <c r="AC53" i="31" s="1"/>
  <c r="R53" i="31"/>
  <c r="N53" i="31"/>
  <c r="J53" i="31" a="1"/>
  <c r="J53" i="31" s="1"/>
  <c r="B53" i="31"/>
  <c r="AC52" i="31"/>
  <c r="AC52" i="31" a="1"/>
  <c r="R52" i="31"/>
  <c r="N52" i="31"/>
  <c r="J52" i="31" a="1"/>
  <c r="J52" i="31" s="1"/>
  <c r="L52" i="31" s="1"/>
  <c r="B52" i="31"/>
  <c r="AC51" i="31" a="1"/>
  <c r="AC51" i="31" s="1"/>
  <c r="R51" i="31"/>
  <c r="N51" i="31"/>
  <c r="J51" i="31" a="1"/>
  <c r="J51" i="31" s="1"/>
  <c r="L51" i="31" s="1"/>
  <c r="B51" i="31"/>
  <c r="AC50" i="31"/>
  <c r="AC50" i="31" a="1"/>
  <c r="R50" i="31"/>
  <c r="N50" i="31"/>
  <c r="J50" i="31" a="1"/>
  <c r="J50" i="31" s="1"/>
  <c r="B50" i="31"/>
  <c r="AC49" i="31" a="1"/>
  <c r="AC49" i="31" s="1"/>
  <c r="R49" i="31"/>
  <c r="N49" i="31"/>
  <c r="J49" i="31" a="1"/>
  <c r="J49" i="31" s="1"/>
  <c r="B49" i="31"/>
  <c r="AC48" i="31" a="1"/>
  <c r="AC48" i="31" s="1"/>
  <c r="R48" i="31"/>
  <c r="N48" i="31"/>
  <c r="J48" i="31" a="1"/>
  <c r="J48" i="31" s="1"/>
  <c r="B48" i="31"/>
  <c r="AC47" i="31" a="1"/>
  <c r="AC47" i="31" s="1"/>
  <c r="U47" i="31"/>
  <c r="V47" i="31" s="1"/>
  <c r="R47" i="31"/>
  <c r="N47" i="31"/>
  <c r="J47" i="31" a="1"/>
  <c r="J47" i="31" s="1"/>
  <c r="T47" i="31" s="1"/>
  <c r="B47" i="31"/>
  <c r="AC46" i="31" a="1"/>
  <c r="AC46" i="31" s="1"/>
  <c r="R46" i="31"/>
  <c r="N46" i="31"/>
  <c r="J46" i="31" a="1"/>
  <c r="J46" i="31" s="1"/>
  <c r="B46" i="31"/>
  <c r="AC45" i="31" a="1"/>
  <c r="AC45" i="31" s="1"/>
  <c r="R45" i="31"/>
  <c r="N45" i="31"/>
  <c r="J45" i="31" a="1"/>
  <c r="J45" i="31" s="1"/>
  <c r="L45" i="31" s="1"/>
  <c r="B45" i="31"/>
  <c r="AC44" i="31" a="1"/>
  <c r="AC44" i="31" s="1"/>
  <c r="T44" i="31"/>
  <c r="R44" i="31"/>
  <c r="N44" i="31"/>
  <c r="J44" i="31"/>
  <c r="L44" i="31" s="1"/>
  <c r="J44" i="31" a="1"/>
  <c r="B44" i="31"/>
  <c r="AC43" i="31" a="1"/>
  <c r="AC43" i="31" s="1"/>
  <c r="R43" i="31"/>
  <c r="N43" i="31"/>
  <c r="J43" i="31" a="1"/>
  <c r="J43" i="31" s="1"/>
  <c r="T43" i="31" s="1"/>
  <c r="U43" i="31" s="1"/>
  <c r="V43" i="31" s="1"/>
  <c r="B43" i="31"/>
  <c r="AC42" i="31"/>
  <c r="AC42" i="31" a="1"/>
  <c r="T42" i="31"/>
  <c r="R42" i="31"/>
  <c r="N42" i="31"/>
  <c r="J42" i="31"/>
  <c r="L42" i="31" s="1"/>
  <c r="J42" i="31" a="1"/>
  <c r="B42" i="31"/>
  <c r="AC41" i="31" a="1"/>
  <c r="AC41" i="31" s="1"/>
  <c r="R41" i="31"/>
  <c r="N41" i="31"/>
  <c r="J41" i="31" a="1"/>
  <c r="J41" i="31" s="1"/>
  <c r="T41" i="31" s="1"/>
  <c r="U41" i="31" s="1"/>
  <c r="V41" i="31" s="1"/>
  <c r="B41" i="31"/>
  <c r="AC40" i="31"/>
  <c r="AC40" i="31" a="1"/>
  <c r="T40" i="31"/>
  <c r="R40" i="31"/>
  <c r="N40" i="31"/>
  <c r="J40" i="31"/>
  <c r="L40" i="31" s="1"/>
  <c r="J40" i="31" a="1"/>
  <c r="B40" i="31"/>
  <c r="AC39" i="31" a="1"/>
  <c r="AC39" i="31" s="1"/>
  <c r="R39" i="31"/>
  <c r="N39" i="31"/>
  <c r="J39" i="31" a="1"/>
  <c r="J39" i="31" s="1"/>
  <c r="B39" i="31"/>
  <c r="AC38" i="31"/>
  <c r="AC38" i="31" a="1"/>
  <c r="R38" i="31"/>
  <c r="N38" i="31"/>
  <c r="J38" i="31" a="1"/>
  <c r="J38" i="31" s="1"/>
  <c r="B38" i="31"/>
  <c r="AC37" i="31" a="1"/>
  <c r="AC37" i="31" s="1"/>
  <c r="R37" i="31"/>
  <c r="N37" i="31"/>
  <c r="J37" i="31" a="1"/>
  <c r="J37" i="31" s="1"/>
  <c r="B37" i="31"/>
  <c r="AC36" i="31" a="1"/>
  <c r="AC36" i="31" s="1"/>
  <c r="R36" i="31"/>
  <c r="N36" i="31"/>
  <c r="J36" i="31" a="1"/>
  <c r="J36" i="31" s="1"/>
  <c r="B36" i="31"/>
  <c r="AC35" i="31" a="1"/>
  <c r="AC35" i="31" s="1"/>
  <c r="R35" i="31"/>
  <c r="N35" i="31"/>
  <c r="J35" i="31" a="1"/>
  <c r="J35" i="31" s="1"/>
  <c r="B35" i="31"/>
  <c r="AC34" i="31"/>
  <c r="AC34" i="31" a="1"/>
  <c r="R34" i="31"/>
  <c r="N34" i="31"/>
  <c r="J34" i="31"/>
  <c r="J34" i="31" a="1"/>
  <c r="B34" i="31"/>
  <c r="AC33" i="31"/>
  <c r="AC33" i="31" a="1"/>
  <c r="R33" i="31"/>
  <c r="N33" i="31"/>
  <c r="J33" i="31" a="1"/>
  <c r="J33" i="31" s="1"/>
  <c r="L33" i="31" s="1"/>
  <c r="B33" i="31"/>
  <c r="AC32" i="31" a="1"/>
  <c r="AC32" i="31" s="1"/>
  <c r="T32" i="31"/>
  <c r="R32" i="31"/>
  <c r="N32" i="31"/>
  <c r="J32" i="31"/>
  <c r="L32" i="31" s="1"/>
  <c r="J32" i="31" a="1"/>
  <c r="B32" i="31"/>
  <c r="AC31" i="31" a="1"/>
  <c r="AC31" i="31" s="1"/>
  <c r="T31" i="31"/>
  <c r="R31" i="31"/>
  <c r="U31" i="31" s="1"/>
  <c r="N31" i="31"/>
  <c r="L31" i="31"/>
  <c r="J31" i="31" a="1"/>
  <c r="J31" i="31" s="1"/>
  <c r="B31" i="31"/>
  <c r="AC30" i="31" a="1"/>
  <c r="AC30" i="31" s="1"/>
  <c r="R30" i="31"/>
  <c r="N30" i="31"/>
  <c r="J30" i="31"/>
  <c r="L30" i="31" s="1"/>
  <c r="J30" i="31" a="1"/>
  <c r="B30" i="31"/>
  <c r="AC29" i="31" a="1"/>
  <c r="AC29" i="31" s="1"/>
  <c r="R29" i="31"/>
  <c r="N29" i="31"/>
  <c r="J29" i="31" a="1"/>
  <c r="J29" i="31" s="1"/>
  <c r="B29" i="31"/>
  <c r="AC28" i="31"/>
  <c r="AC28" i="31" a="1"/>
  <c r="R28" i="31"/>
  <c r="N28" i="31"/>
  <c r="J28" i="31" a="1"/>
  <c r="J28" i="31" s="1"/>
  <c r="B28" i="31"/>
  <c r="AC27" i="31" a="1"/>
  <c r="AC27" i="31" s="1"/>
  <c r="R27" i="31"/>
  <c r="N27" i="31"/>
  <c r="J27" i="31" a="1"/>
  <c r="J27" i="31" s="1"/>
  <c r="B27" i="31"/>
  <c r="AC26" i="31"/>
  <c r="AC26" i="31" a="1"/>
  <c r="T26" i="31"/>
  <c r="R26" i="31"/>
  <c r="N26" i="31"/>
  <c r="J26" i="31" a="1"/>
  <c r="J26" i="31" s="1"/>
  <c r="L26" i="31" s="1"/>
  <c r="B26" i="31"/>
  <c r="AC25" i="31" a="1"/>
  <c r="AC25" i="31" s="1"/>
  <c r="R25" i="31"/>
  <c r="N25" i="31"/>
  <c r="J25" i="31" a="1"/>
  <c r="J25" i="31" s="1"/>
  <c r="B25" i="31"/>
  <c r="AC24" i="31" a="1"/>
  <c r="AC24" i="31" s="1"/>
  <c r="R24" i="31"/>
  <c r="N24" i="31"/>
  <c r="J24" i="31" a="1"/>
  <c r="J24" i="31" s="1"/>
  <c r="B24" i="31"/>
  <c r="AC23" i="31" a="1"/>
  <c r="AC23" i="31" s="1"/>
  <c r="R23" i="31"/>
  <c r="N23" i="31"/>
  <c r="J23" i="31" a="1"/>
  <c r="J23" i="31" s="1"/>
  <c r="B23" i="31"/>
  <c r="AC22" i="31"/>
  <c r="AC22" i="31" a="1"/>
  <c r="R22" i="31"/>
  <c r="N22" i="31"/>
  <c r="J22" i="31" a="1"/>
  <c r="J22" i="31" s="1"/>
  <c r="L22" i="31" s="1"/>
  <c r="B22" i="31"/>
  <c r="AC21" i="31"/>
  <c r="AC21" i="31" a="1"/>
  <c r="U21" i="31"/>
  <c r="V21" i="31" s="1"/>
  <c r="T21" i="31"/>
  <c r="R21" i="31"/>
  <c r="N21" i="31"/>
  <c r="J21" i="31" a="1"/>
  <c r="J21" i="31" s="1"/>
  <c r="L21" i="31" s="1"/>
  <c r="B21" i="31"/>
  <c r="AC20" i="31" a="1"/>
  <c r="AC20" i="31" s="1"/>
  <c r="T20" i="31"/>
  <c r="R20" i="31"/>
  <c r="N20" i="31"/>
  <c r="J20" i="31"/>
  <c r="L20" i="31" s="1"/>
  <c r="J20" i="31" a="1"/>
  <c r="B20" i="31"/>
  <c r="AC19" i="31" a="1"/>
  <c r="AC19" i="31" s="1"/>
  <c r="R19" i="31"/>
  <c r="N19" i="31"/>
  <c r="J19" i="31" a="1"/>
  <c r="J19" i="31" s="1"/>
  <c r="T19" i="31" s="1"/>
  <c r="B19" i="31"/>
  <c r="AC18" i="31" a="1"/>
  <c r="AC18" i="31" s="1"/>
  <c r="R18" i="31"/>
  <c r="N18" i="31"/>
  <c r="L18" i="31"/>
  <c r="J18" i="31"/>
  <c r="T18" i="31" s="1"/>
  <c r="J18" i="31" a="1"/>
  <c r="B18" i="31"/>
  <c r="AC17" i="31" a="1"/>
  <c r="AC17" i="31" s="1"/>
  <c r="R17" i="31"/>
  <c r="N17" i="31"/>
  <c r="J17" i="31" a="1"/>
  <c r="J17" i="31" s="1"/>
  <c r="B17" i="31"/>
  <c r="AC16" i="31" a="1"/>
  <c r="AC16" i="31" s="1"/>
  <c r="R16" i="31"/>
  <c r="N16" i="31"/>
  <c r="J16" i="31" a="1"/>
  <c r="J16" i="31" s="1"/>
  <c r="L16" i="31" s="1"/>
  <c r="B16" i="31"/>
  <c r="AC15" i="31" a="1"/>
  <c r="AC15" i="31" s="1"/>
  <c r="T15" i="31"/>
  <c r="U15" i="31" s="1"/>
  <c r="R15" i="31"/>
  <c r="N15" i="31"/>
  <c r="L15" i="31"/>
  <c r="J15" i="31"/>
  <c r="J15" i="31" a="1"/>
  <c r="B15" i="31"/>
  <c r="AC14" i="31"/>
  <c r="AC14" i="31" a="1"/>
  <c r="R14" i="31"/>
  <c r="N14" i="31"/>
  <c r="J14" i="31" a="1"/>
  <c r="J14" i="31" s="1"/>
  <c r="B14" i="31"/>
  <c r="A104" i="31" s="1"/>
  <c r="AC13" i="31" a="1"/>
  <c r="AC13" i="31" s="1"/>
  <c r="R13" i="31"/>
  <c r="N13" i="31"/>
  <c r="J13" i="31" a="1"/>
  <c r="J13" i="31" s="1"/>
  <c r="B13" i="31"/>
  <c r="AC12" i="31" a="1"/>
  <c r="AC12" i="31" s="1"/>
  <c r="R12" i="31"/>
  <c r="N12" i="31"/>
  <c r="J12" i="31"/>
  <c r="J12" i="31" a="1"/>
  <c r="B12" i="31"/>
  <c r="AC11" i="31" a="1"/>
  <c r="AC11" i="31" s="1"/>
  <c r="R11" i="31"/>
  <c r="N11" i="31"/>
  <c r="J11" i="31" a="1"/>
  <c r="J11" i="31" s="1"/>
  <c r="B11" i="31"/>
  <c r="AC10" i="31" a="1"/>
  <c r="AC10" i="31" s="1"/>
  <c r="R10" i="31"/>
  <c r="N10" i="31"/>
  <c r="J10" i="31" a="1"/>
  <c r="J10" i="31" s="1"/>
  <c r="L10" i="31" s="1"/>
  <c r="B10" i="31"/>
  <c r="AC9" i="31" a="1"/>
  <c r="AC9" i="31" s="1"/>
  <c r="T9" i="31"/>
  <c r="U9" i="31" s="1"/>
  <c r="V9" i="31" s="1"/>
  <c r="R9" i="31"/>
  <c r="N9" i="31"/>
  <c r="J9" i="31" a="1"/>
  <c r="J9" i="31" s="1"/>
  <c r="L9" i="31" s="1"/>
  <c r="B9" i="31"/>
  <c r="AC8" i="31" a="1"/>
  <c r="AC8" i="31" s="1"/>
  <c r="R8" i="31"/>
  <c r="N8" i="31"/>
  <c r="J8" i="31"/>
  <c r="L8" i="31" s="1"/>
  <c r="J8" i="31" a="1"/>
  <c r="B8" i="31"/>
  <c r="AC7" i="31" a="1"/>
  <c r="AC7" i="31" s="1"/>
  <c r="R7" i="31"/>
  <c r="N7" i="31"/>
  <c r="J7" i="31" a="1"/>
  <c r="J7" i="31" s="1"/>
  <c r="L7" i="31" s="1"/>
  <c r="B7" i="31"/>
  <c r="A144" i="31" s="1"/>
  <c r="AC6" i="31" a="1"/>
  <c r="AC6" i="31" s="1"/>
  <c r="R6" i="31"/>
  <c r="N6" i="31"/>
  <c r="L6" i="31"/>
  <c r="J6" i="31"/>
  <c r="T6" i="31" s="1"/>
  <c r="J6" i="31" a="1"/>
  <c r="B6" i="31"/>
  <c r="AC5" i="31"/>
  <c r="AC5" i="31" a="1"/>
  <c r="R5" i="31"/>
  <c r="N5" i="31"/>
  <c r="J5" i="31" a="1"/>
  <c r="J5" i="31" s="1"/>
  <c r="B5" i="31"/>
  <c r="AC4" i="31" a="1"/>
  <c r="AC4" i="31" s="1"/>
  <c r="R4" i="31"/>
  <c r="N4" i="31"/>
  <c r="J4" i="31" a="1"/>
  <c r="J4" i="31" s="1"/>
  <c r="B4" i="31"/>
  <c r="A145" i="31" s="1"/>
  <c r="AC3" i="31" a="1"/>
  <c r="AC3" i="31" s="1"/>
  <c r="R3" i="31"/>
  <c r="N3" i="31"/>
  <c r="J3" i="31" a="1"/>
  <c r="J3" i="31" s="1"/>
  <c r="B3" i="31"/>
  <c r="A2" i="30"/>
  <c r="T205" i="16" l="1"/>
  <c r="U205" i="16" s="1"/>
  <c r="V205" i="16" s="1"/>
  <c r="T193" i="16"/>
  <c r="U193" i="16" s="1"/>
  <c r="V193" i="16" s="1"/>
  <c r="T206" i="16"/>
  <c r="U206" i="16" s="1"/>
  <c r="V206" i="16" s="1"/>
  <c r="T187" i="16"/>
  <c r="U187" i="16" s="1"/>
  <c r="V187" i="16" s="1"/>
  <c r="T196" i="16"/>
  <c r="U196" i="16" s="1"/>
  <c r="V196" i="16" s="1"/>
  <c r="L196" i="16"/>
  <c r="T195" i="16"/>
  <c r="U195" i="16" s="1"/>
  <c r="V195" i="16" s="1"/>
  <c r="L195" i="16"/>
  <c r="L202" i="16"/>
  <c r="T202" i="16"/>
  <c r="U202" i="16" s="1"/>
  <c r="V202" i="16" s="1"/>
  <c r="L191" i="16"/>
  <c r="T191" i="16"/>
  <c r="U191" i="16" s="1"/>
  <c r="V191" i="16" s="1"/>
  <c r="L201" i="16"/>
  <c r="T201" i="16"/>
  <c r="U201" i="16" s="1"/>
  <c r="V201" i="16" s="1"/>
  <c r="T197" i="16"/>
  <c r="U197" i="16" s="1"/>
  <c r="V197" i="16" s="1"/>
  <c r="L197" i="16"/>
  <c r="T204" i="16"/>
  <c r="U204" i="16" s="1"/>
  <c r="V204" i="16" s="1"/>
  <c r="L204" i="16"/>
  <c r="L198" i="16"/>
  <c r="T198" i="16"/>
  <c r="U198" i="16" s="1"/>
  <c r="V198" i="16" s="1"/>
  <c r="L203" i="16"/>
  <c r="T203" i="16"/>
  <c r="U203" i="16" s="1"/>
  <c r="V203" i="16" s="1"/>
  <c r="T194" i="16"/>
  <c r="U194" i="16" s="1"/>
  <c r="V194" i="16" s="1"/>
  <c r="L194" i="16"/>
  <c r="T200" i="16"/>
  <c r="U200" i="16" s="1"/>
  <c r="V200" i="16" s="1"/>
  <c r="L206" i="16"/>
  <c r="T199" i="16"/>
  <c r="U199" i="16" s="1"/>
  <c r="V199" i="16" s="1"/>
  <c r="L205" i="16"/>
  <c r="L193" i="16"/>
  <c r="T189" i="16"/>
  <c r="U189" i="16" s="1"/>
  <c r="V189" i="16" s="1"/>
  <c r="L189" i="16"/>
  <c r="L190" i="16"/>
  <c r="T190" i="16"/>
  <c r="U190" i="16" s="1"/>
  <c r="V190" i="16" s="1"/>
  <c r="T188" i="16"/>
  <c r="U188" i="16" s="1"/>
  <c r="V188" i="16" s="1"/>
  <c r="L188" i="16"/>
  <c r="L187" i="16"/>
  <c r="T192" i="16"/>
  <c r="U192" i="16" s="1"/>
  <c r="V192" i="16" s="1"/>
  <c r="L186" i="16"/>
  <c r="T186" i="16"/>
  <c r="U186" i="16" s="1"/>
  <c r="V186" i="16" s="1"/>
  <c r="L185" i="16"/>
  <c r="T185" i="16"/>
  <c r="U185" i="16" s="1"/>
  <c r="V185" i="16" s="1"/>
  <c r="T184" i="16"/>
  <c r="U184" i="16" s="1"/>
  <c r="V184" i="16" s="1"/>
  <c r="L184" i="16"/>
  <c r="T180" i="16"/>
  <c r="U180" i="16" s="1"/>
  <c r="V180" i="16" s="1"/>
  <c r="L180" i="16"/>
  <c r="T182" i="16"/>
  <c r="U182" i="16" s="1"/>
  <c r="V182" i="16" s="1"/>
  <c r="L182" i="16"/>
  <c r="T178" i="16"/>
  <c r="U178" i="16" s="1"/>
  <c r="V178" i="16" s="1"/>
  <c r="L178" i="16"/>
  <c r="T177" i="16"/>
  <c r="U177" i="16" s="1"/>
  <c r="V177" i="16" s="1"/>
  <c r="L177" i="16"/>
  <c r="L181" i="16"/>
  <c r="T181" i="16"/>
  <c r="U181" i="16" s="1"/>
  <c r="V181" i="16" s="1"/>
  <c r="L176" i="16"/>
  <c r="T176" i="16"/>
  <c r="U176" i="16" s="1"/>
  <c r="V176" i="16" s="1"/>
  <c r="T179" i="16"/>
  <c r="U179" i="16" s="1"/>
  <c r="V179" i="16" s="1"/>
  <c r="T183" i="16"/>
  <c r="U183" i="16" s="1"/>
  <c r="V183" i="16" s="1"/>
  <c r="T161" i="16"/>
  <c r="U161" i="16" s="1"/>
  <c r="V161" i="16" s="1"/>
  <c r="T171" i="16"/>
  <c r="U171" i="16" s="1"/>
  <c r="V171" i="16" s="1"/>
  <c r="T159" i="16"/>
  <c r="U159" i="16" s="1"/>
  <c r="V159" i="16" s="1"/>
  <c r="T173" i="16"/>
  <c r="U173" i="16" s="1"/>
  <c r="V173" i="16" s="1"/>
  <c r="L171" i="16"/>
  <c r="L159" i="16"/>
  <c r="L167" i="16"/>
  <c r="T167" i="16"/>
  <c r="U167" i="16" s="1"/>
  <c r="V167" i="16" s="1"/>
  <c r="T155" i="16"/>
  <c r="U155" i="16" s="1"/>
  <c r="V155" i="16" s="1"/>
  <c r="T158" i="16"/>
  <c r="U158" i="16" s="1"/>
  <c r="V158" i="16" s="1"/>
  <c r="L158" i="16"/>
  <c r="T175" i="16"/>
  <c r="U175" i="16" s="1"/>
  <c r="V175" i="16" s="1"/>
  <c r="L175" i="16"/>
  <c r="L166" i="16"/>
  <c r="T166" i="16"/>
  <c r="U166" i="16" s="1"/>
  <c r="V166" i="16" s="1"/>
  <c r="T157" i="16"/>
  <c r="U157" i="16" s="1"/>
  <c r="V157" i="16" s="1"/>
  <c r="L157" i="16"/>
  <c r="L160" i="16"/>
  <c r="T160" i="16"/>
  <c r="U160" i="16" s="1"/>
  <c r="V160" i="16" s="1"/>
  <c r="T174" i="16"/>
  <c r="U174" i="16" s="1"/>
  <c r="V174" i="16" s="1"/>
  <c r="L174" i="16"/>
  <c r="L156" i="16"/>
  <c r="T156" i="16"/>
  <c r="U156" i="16" s="1"/>
  <c r="V156" i="16" s="1"/>
  <c r="L164" i="16"/>
  <c r="T164" i="16"/>
  <c r="U164" i="16" s="1"/>
  <c r="V164" i="16" s="1"/>
  <c r="L172" i="16"/>
  <c r="T172" i="16"/>
  <c r="U172" i="16" s="1"/>
  <c r="V172" i="16" s="1"/>
  <c r="T163" i="16"/>
  <c r="U163" i="16" s="1"/>
  <c r="V163" i="16" s="1"/>
  <c r="L163" i="16"/>
  <c r="T162" i="16"/>
  <c r="U162" i="16" s="1"/>
  <c r="V162" i="16" s="1"/>
  <c r="L162" i="16"/>
  <c r="T169" i="16"/>
  <c r="U169" i="16" s="1"/>
  <c r="V169" i="16" s="1"/>
  <c r="L169" i="16"/>
  <c r="T168" i="16"/>
  <c r="U168" i="16" s="1"/>
  <c r="V168" i="16" s="1"/>
  <c r="L168" i="16"/>
  <c r="L170" i="16"/>
  <c r="T170" i="16"/>
  <c r="U170" i="16" s="1"/>
  <c r="V170" i="16" s="1"/>
  <c r="L173" i="16"/>
  <c r="L161" i="16"/>
  <c r="T165" i="16"/>
  <c r="U165" i="16" s="1"/>
  <c r="V165" i="16" s="1"/>
  <c r="T120" i="31"/>
  <c r="U120" i="31" s="1"/>
  <c r="V120" i="31" s="1"/>
  <c r="T134" i="31"/>
  <c r="U134" i="31" s="1"/>
  <c r="V134" i="31" s="1"/>
  <c r="T118" i="31"/>
  <c r="U118" i="31" s="1"/>
  <c r="V118" i="31" s="1"/>
  <c r="T119" i="31"/>
  <c r="U119" i="31" s="1"/>
  <c r="V119" i="31" s="1"/>
  <c r="T128" i="31"/>
  <c r="U128" i="31" s="1"/>
  <c r="V128" i="31" s="1"/>
  <c r="U141" i="31"/>
  <c r="V141" i="31" s="1"/>
  <c r="U142" i="31"/>
  <c r="V142" i="31" s="1"/>
  <c r="U138" i="31"/>
  <c r="V138" i="31" s="1"/>
  <c r="U140" i="31"/>
  <c r="V140" i="31" s="1"/>
  <c r="T39" i="31"/>
  <c r="L39" i="31"/>
  <c r="L50" i="31"/>
  <c r="T50" i="31"/>
  <c r="U50" i="31" s="1"/>
  <c r="V50" i="31" s="1"/>
  <c r="T60" i="31"/>
  <c r="U60" i="31" s="1"/>
  <c r="V60" i="31" s="1"/>
  <c r="L60" i="31"/>
  <c r="V97" i="31"/>
  <c r="T117" i="31"/>
  <c r="U117" i="31" s="1"/>
  <c r="V117" i="31" s="1"/>
  <c r="L117" i="31"/>
  <c r="T131" i="31"/>
  <c r="U131" i="31" s="1"/>
  <c r="V131" i="31" s="1"/>
  <c r="L131" i="31"/>
  <c r="T153" i="31"/>
  <c r="U153" i="31" s="1"/>
  <c r="V153" i="31" s="1"/>
  <c r="L153" i="31"/>
  <c r="L111" i="31"/>
  <c r="T111" i="31"/>
  <c r="U111" i="31" s="1"/>
  <c r="V111" i="31" s="1"/>
  <c r="T113" i="31"/>
  <c r="U113" i="31" s="1"/>
  <c r="V113" i="31" s="1"/>
  <c r="L113" i="31"/>
  <c r="T133" i="31"/>
  <c r="U133" i="31" s="1"/>
  <c r="V133" i="31" s="1"/>
  <c r="L133" i="31"/>
  <c r="T29" i="31"/>
  <c r="U29" i="31" s="1"/>
  <c r="V29" i="31" s="1"/>
  <c r="L29" i="31"/>
  <c r="T3" i="31"/>
  <c r="U3" i="31" s="1"/>
  <c r="L3" i="31"/>
  <c r="AA3" i="31" s="1"/>
  <c r="L38" i="31"/>
  <c r="T38" i="31"/>
  <c r="T65" i="31"/>
  <c r="L65" i="31"/>
  <c r="L14" i="31"/>
  <c r="T14" i="31"/>
  <c r="T28" i="31"/>
  <c r="U28" i="31" s="1"/>
  <c r="V28" i="31" s="1"/>
  <c r="L28" i="31"/>
  <c r="L46" i="31"/>
  <c r="T46" i="31"/>
  <c r="U46" i="31" s="1"/>
  <c r="V46" i="31" s="1"/>
  <c r="L71" i="31"/>
  <c r="T71" i="31"/>
  <c r="U71" i="31" s="1"/>
  <c r="V71" i="31" s="1"/>
  <c r="T86" i="31"/>
  <c r="L86" i="31"/>
  <c r="T36" i="31"/>
  <c r="L36" i="31"/>
  <c r="V40" i="31"/>
  <c r="L147" i="31"/>
  <c r="T147" i="31"/>
  <c r="U147" i="31" s="1"/>
  <c r="V147" i="31" s="1"/>
  <c r="T66" i="31"/>
  <c r="L66" i="31"/>
  <c r="T5" i="31"/>
  <c r="L5" i="31"/>
  <c r="T24" i="31"/>
  <c r="L24" i="31"/>
  <c r="T61" i="31"/>
  <c r="L61" i="31"/>
  <c r="T75" i="31"/>
  <c r="U75" i="31" s="1"/>
  <c r="V75" i="31" s="1"/>
  <c r="L75" i="31"/>
  <c r="L130" i="31"/>
  <c r="T130" i="31"/>
  <c r="U130" i="31" s="1"/>
  <c r="V130" i="31" s="1"/>
  <c r="V32" i="31"/>
  <c r="T116" i="31"/>
  <c r="L116" i="31"/>
  <c r="T112" i="31"/>
  <c r="U112" i="31" s="1"/>
  <c r="V112" i="31" s="1"/>
  <c r="L112" i="31"/>
  <c r="T132" i="31"/>
  <c r="U132" i="31" s="1"/>
  <c r="V132" i="31" s="1"/>
  <c r="L132" i="31"/>
  <c r="L154" i="31"/>
  <c r="T154" i="31"/>
  <c r="U154" i="31" s="1"/>
  <c r="V154" i="31" s="1"/>
  <c r="V77" i="31"/>
  <c r="T49" i="31"/>
  <c r="L49" i="31"/>
  <c r="T64" i="31"/>
  <c r="L64" i="31"/>
  <c r="T4" i="31"/>
  <c r="L4" i="31"/>
  <c r="T13" i="31"/>
  <c r="U13" i="31" s="1"/>
  <c r="V13" i="31" s="1"/>
  <c r="L13" i="31"/>
  <c r="T25" i="31"/>
  <c r="U25" i="31" s="1"/>
  <c r="V25" i="31" s="1"/>
  <c r="L25" i="31"/>
  <c r="T62" i="31"/>
  <c r="U62" i="31" s="1"/>
  <c r="V62" i="31" s="1"/>
  <c r="L62" i="31"/>
  <c r="T35" i="31"/>
  <c r="U35" i="31" s="1"/>
  <c r="V35" i="31" s="1"/>
  <c r="L35" i="31"/>
  <c r="T76" i="31"/>
  <c r="U76" i="31" s="1"/>
  <c r="V76" i="31" s="1"/>
  <c r="L76" i="31"/>
  <c r="T146" i="31"/>
  <c r="U146" i="31" s="1"/>
  <c r="V146" i="31" s="1"/>
  <c r="L146" i="31"/>
  <c r="L148" i="31"/>
  <c r="T148" i="31"/>
  <c r="U148" i="31" s="1"/>
  <c r="V148" i="31" s="1"/>
  <c r="U6" i="31"/>
  <c r="V6" i="31"/>
  <c r="L55" i="31"/>
  <c r="L123" i="31"/>
  <c r="T123" i="31"/>
  <c r="U123" i="31" s="1"/>
  <c r="V123" i="31" s="1"/>
  <c r="A127" i="31"/>
  <c r="V15" i="31"/>
  <c r="V18" i="31"/>
  <c r="T23" i="31"/>
  <c r="U23" i="31" s="1"/>
  <c r="V23" i="31" s="1"/>
  <c r="L23" i="31"/>
  <c r="U32" i="31"/>
  <c r="U40" i="31"/>
  <c r="T84" i="31"/>
  <c r="U84" i="31" s="1"/>
  <c r="V84" i="31" s="1"/>
  <c r="L84" i="31"/>
  <c r="L92" i="31"/>
  <c r="U116" i="31"/>
  <c r="L119" i="31"/>
  <c r="A131" i="31"/>
  <c r="A147" i="31"/>
  <c r="V67" i="31"/>
  <c r="L102" i="31"/>
  <c r="L34" i="31"/>
  <c r="T34" i="31"/>
  <c r="U34" i="31" s="1"/>
  <c r="V34" i="31" s="1"/>
  <c r="T52" i="31"/>
  <c r="U52" i="31" s="1"/>
  <c r="V52" i="31" s="1"/>
  <c r="U55" i="31"/>
  <c r="V55" i="31" s="1"/>
  <c r="U87" i="31"/>
  <c r="V87" i="31" s="1"/>
  <c r="T89" i="31"/>
  <c r="U89" i="31" s="1"/>
  <c r="V89" i="31" s="1"/>
  <c r="L89" i="31"/>
  <c r="U95" i="31"/>
  <c r="V95" i="31" s="1"/>
  <c r="A101" i="31"/>
  <c r="T122" i="31"/>
  <c r="U122" i="31" s="1"/>
  <c r="V122" i="31" s="1"/>
  <c r="L122" i="31"/>
  <c r="T144" i="31"/>
  <c r="U144" i="31" s="1"/>
  <c r="V144" i="31" s="1"/>
  <c r="L144" i="31"/>
  <c r="A151" i="31"/>
  <c r="T152" i="31"/>
  <c r="U152" i="31" s="1"/>
  <c r="V152" i="31" s="1"/>
  <c r="L152" i="31"/>
  <c r="T129" i="31"/>
  <c r="U129" i="31" s="1"/>
  <c r="V129" i="31" s="1"/>
  <c r="L129" i="31"/>
  <c r="L70" i="31"/>
  <c r="T70" i="31"/>
  <c r="U70" i="31" s="1"/>
  <c r="V70" i="31" s="1"/>
  <c r="L87" i="31"/>
  <c r="A122" i="31"/>
  <c r="T17" i="31"/>
  <c r="U17" i="31" s="1"/>
  <c r="V17" i="31" s="1"/>
  <c r="L17" i="31"/>
  <c r="T8" i="31"/>
  <c r="A126" i="31"/>
  <c r="U8" i="31"/>
  <c r="V8" i="31" s="1"/>
  <c r="A146" i="31"/>
  <c r="T27" i="31"/>
  <c r="U27" i="31" s="1"/>
  <c r="V27" i="31" s="1"/>
  <c r="L27" i="31"/>
  <c r="V31" i="31"/>
  <c r="U104" i="31"/>
  <c r="V104" i="31" s="1"/>
  <c r="T22" i="31"/>
  <c r="U22" i="31" s="1"/>
  <c r="V22" i="31" s="1"/>
  <c r="T30" i="31"/>
  <c r="U30" i="31" s="1"/>
  <c r="V30" i="31" s="1"/>
  <c r="U36" i="31"/>
  <c r="V36" i="31" s="1"/>
  <c r="L41" i="31"/>
  <c r="U45" i="31"/>
  <c r="V45" i="31" s="1"/>
  <c r="T51" i="31"/>
  <c r="U57" i="31"/>
  <c r="V57" i="31" s="1"/>
  <c r="U65" i="31"/>
  <c r="V65" i="31" s="1"/>
  <c r="L93" i="31"/>
  <c r="T106" i="31"/>
  <c r="U106" i="31" s="1"/>
  <c r="V106" i="31" s="1"/>
  <c r="L134" i="31"/>
  <c r="A149" i="31"/>
  <c r="T12" i="31"/>
  <c r="L12" i="31"/>
  <c r="U105" i="31"/>
  <c r="V105" i="31" s="1"/>
  <c r="U114" i="31"/>
  <c r="V114" i="31" s="1"/>
  <c r="V108" i="31"/>
  <c r="T78" i="31"/>
  <c r="U78" i="31" s="1"/>
  <c r="V78" i="31" s="1"/>
  <c r="V94" i="31"/>
  <c r="T101" i="31"/>
  <c r="L101" i="31"/>
  <c r="T63" i="31"/>
  <c r="U63" i="31" s="1"/>
  <c r="V63" i="31" s="1"/>
  <c r="A103" i="31"/>
  <c r="U107" i="31"/>
  <c r="V107" i="31" s="1"/>
  <c r="T121" i="31"/>
  <c r="U121" i="31" s="1"/>
  <c r="V121" i="31" s="1"/>
  <c r="L121" i="31"/>
  <c r="T126" i="31"/>
  <c r="U126" i="31" s="1"/>
  <c r="V126" i="31" s="1"/>
  <c r="L126" i="31"/>
  <c r="A154" i="31"/>
  <c r="T74" i="31"/>
  <c r="U74" i="31" s="1"/>
  <c r="V74" i="31" s="1"/>
  <c r="L74" i="31"/>
  <c r="L91" i="31"/>
  <c r="A100" i="31"/>
  <c r="T135" i="31"/>
  <c r="U135" i="31" s="1"/>
  <c r="V135" i="31" s="1"/>
  <c r="U42" i="31"/>
  <c r="V42" i="31" s="1"/>
  <c r="T45" i="31"/>
  <c r="T53" i="31"/>
  <c r="U53" i="31" s="1"/>
  <c r="V53" i="31" s="1"/>
  <c r="L53" i="31"/>
  <c r="L59" i="31"/>
  <c r="T59" i="31"/>
  <c r="U59" i="31" s="1"/>
  <c r="V59" i="31" s="1"/>
  <c r="U77" i="31"/>
  <c r="T83" i="31"/>
  <c r="U83" i="31" s="1"/>
  <c r="V83" i="31" s="1"/>
  <c r="U97" i="31"/>
  <c r="A124" i="31"/>
  <c r="T11" i="31"/>
  <c r="U11" i="31" s="1"/>
  <c r="V11" i="31" s="1"/>
  <c r="L11" i="31"/>
  <c r="A105" i="31"/>
  <c r="A93" i="31"/>
  <c r="A133" i="31"/>
  <c r="A106" i="31"/>
  <c r="A94" i="31"/>
  <c r="A137" i="31"/>
  <c r="A136" i="31"/>
  <c r="A135" i="31"/>
  <c r="A134" i="31"/>
  <c r="A108" i="31"/>
  <c r="A107" i="31"/>
  <c r="A95" i="31"/>
  <c r="A97" i="31"/>
  <c r="A139" i="31"/>
  <c r="A138" i="31"/>
  <c r="A119" i="31"/>
  <c r="A96" i="31"/>
  <c r="A120" i="31"/>
  <c r="A143" i="31"/>
  <c r="A98" i="31"/>
  <c r="U66" i="31"/>
  <c r="V66" i="31"/>
  <c r="U92" i="31"/>
  <c r="V92" i="31" s="1"/>
  <c r="A150" i="31"/>
  <c r="U20" i="31"/>
  <c r="V20" i="31" s="1"/>
  <c r="V39" i="31"/>
  <c r="U39" i="31"/>
  <c r="A56" i="31"/>
  <c r="L19" i="31"/>
  <c r="A125" i="31"/>
  <c r="T7" i="31"/>
  <c r="U7" i="31" s="1"/>
  <c r="V7" i="31" s="1"/>
  <c r="T10" i="31"/>
  <c r="U10" i="31" s="1"/>
  <c r="V10" i="31" s="1"/>
  <c r="U19" i="31"/>
  <c r="V19" i="31" s="1"/>
  <c r="T16" i="31"/>
  <c r="U16" i="31" s="1"/>
  <c r="V16" i="31" s="1"/>
  <c r="L47" i="31"/>
  <c r="U68" i="31"/>
  <c r="V68" i="31" s="1"/>
  <c r="T85" i="31"/>
  <c r="L85" i="31"/>
  <c r="U93" i="31"/>
  <c r="V93" i="31" s="1"/>
  <c r="A99" i="31"/>
  <c r="A102" i="31"/>
  <c r="U109" i="31"/>
  <c r="V109" i="31" s="1"/>
  <c r="U139" i="31"/>
  <c r="V139" i="31" s="1"/>
  <c r="T143" i="31"/>
  <c r="U143" i="31" s="1"/>
  <c r="V143" i="31" s="1"/>
  <c r="L149" i="31"/>
  <c r="T149" i="31"/>
  <c r="U149" i="31" s="1"/>
  <c r="V149" i="31" s="1"/>
  <c r="U151" i="31"/>
  <c r="V151" i="31" s="1"/>
  <c r="T37" i="31"/>
  <c r="U37" i="31" s="1"/>
  <c r="V37" i="31" s="1"/>
  <c r="L37" i="31"/>
  <c r="U26" i="31"/>
  <c r="V26" i="31" s="1"/>
  <c r="V82" i="31"/>
  <c r="U82" i="31"/>
  <c r="L115" i="31"/>
  <c r="T115" i="31"/>
  <c r="U115" i="31" s="1"/>
  <c r="V115" i="31" s="1"/>
  <c r="A121" i="31"/>
  <c r="T136" i="31"/>
  <c r="U136" i="31" s="1"/>
  <c r="V136" i="31" s="1"/>
  <c r="V5" i="31"/>
  <c r="U14" i="31"/>
  <c r="V14" i="31" s="1"/>
  <c r="T48" i="31"/>
  <c r="U48" i="31" s="1"/>
  <c r="V48" i="31" s="1"/>
  <c r="L48" i="31"/>
  <c r="L54" i="31"/>
  <c r="U94" i="31"/>
  <c r="V101" i="31"/>
  <c r="U33" i="31"/>
  <c r="V33" i="31" s="1"/>
  <c r="U51" i="31"/>
  <c r="V51" i="31" s="1"/>
  <c r="U56" i="31"/>
  <c r="V56" i="31"/>
  <c r="T88" i="31"/>
  <c r="U88" i="31" s="1"/>
  <c r="V88" i="31" s="1"/>
  <c r="T90" i="31"/>
  <c r="U90" i="31" s="1"/>
  <c r="V90" i="31" s="1"/>
  <c r="L90" i="31"/>
  <c r="V103" i="31"/>
  <c r="L120" i="31"/>
  <c r="A123" i="31"/>
  <c r="L124" i="31"/>
  <c r="T124" i="31"/>
  <c r="U124" i="31" s="1"/>
  <c r="V124" i="31" s="1"/>
  <c r="A132" i="31"/>
  <c r="T145" i="31"/>
  <c r="U145" i="31" s="1"/>
  <c r="V145" i="31" s="1"/>
  <c r="L145" i="31"/>
  <c r="A148" i="31"/>
  <c r="L80" i="31"/>
  <c r="L43" i="31"/>
  <c r="U86" i="31"/>
  <c r="V86" i="31" s="1"/>
  <c r="L99" i="31"/>
  <c r="U103" i="31"/>
  <c r="L128" i="31"/>
  <c r="V116" i="31"/>
  <c r="U61" i="31"/>
  <c r="V61" i="31" s="1"/>
  <c r="U5" i="31"/>
  <c r="U12" i="31"/>
  <c r="U38" i="31"/>
  <c r="V38" i="31" s="1"/>
  <c r="U49" i="31"/>
  <c r="V49" i="31" s="1"/>
  <c r="V64" i="31"/>
  <c r="U81" i="31"/>
  <c r="V81" i="31" s="1"/>
  <c r="U91" i="31"/>
  <c r="V91" i="31" s="1"/>
  <c r="U102" i="31"/>
  <c r="V102" i="31" s="1"/>
  <c r="L100" i="31"/>
  <c r="U18" i="31"/>
  <c r="T33" i="31"/>
  <c r="U44" i="31"/>
  <c r="V44" i="31" s="1"/>
  <c r="U54" i="31"/>
  <c r="V54" i="31" s="1"/>
  <c r="U101" i="31"/>
  <c r="T110" i="31"/>
  <c r="U110" i="31" s="1"/>
  <c r="V110" i="31" s="1"/>
  <c r="T125" i="31"/>
  <c r="U125" i="31" s="1"/>
  <c r="V125" i="31" s="1"/>
  <c r="U150" i="31"/>
  <c r="V150" i="31" s="1"/>
  <c r="U24" i="31"/>
  <c r="V24" i="31" s="1"/>
  <c r="U4" i="31"/>
  <c r="V4" i="31" s="1"/>
  <c r="V12" i="31"/>
  <c r="U64" i="31"/>
  <c r="U85" i="31"/>
  <c r="V85" i="31" s="1"/>
  <c r="L114" i="31"/>
  <c r="A128" i="31"/>
  <c r="A140" i="31"/>
  <c r="A152" i="31"/>
  <c r="A129" i="31"/>
  <c r="A141" i="31"/>
  <c r="A153" i="31"/>
  <c r="A118" i="31"/>
  <c r="A130" i="31"/>
  <c r="A142" i="31"/>
  <c r="AB3" i="31" l="1"/>
  <c r="V3" i="31"/>
  <c r="K154" i="16" l="1"/>
  <c r="K153" i="16"/>
  <c r="K152" i="16"/>
  <c r="K151" i="16"/>
  <c r="K150" i="16"/>
  <c r="K149" i="16"/>
  <c r="K148" i="16"/>
  <c r="K147" i="16"/>
  <c r="K146" i="16"/>
  <c r="K145" i="16"/>
  <c r="K144" i="16"/>
  <c r="K143" i="16"/>
  <c r="K142" i="16"/>
  <c r="K141" i="16"/>
  <c r="K140" i="16"/>
  <c r="K139" i="16"/>
  <c r="AS7" i="26"/>
  <c r="AS8" i="26"/>
  <c r="AS10" i="26"/>
  <c r="AS11" i="26"/>
  <c r="AS12" i="26"/>
  <c r="AS13" i="26"/>
  <c r="AS15" i="26"/>
  <c r="AS16" i="26"/>
  <c r="AS17" i="26"/>
  <c r="AS19" i="26"/>
  <c r="AS20" i="26"/>
  <c r="AS21" i="26"/>
  <c r="AS22" i="26"/>
  <c r="AS23" i="26"/>
  <c r="AS24" i="26"/>
  <c r="AS25" i="26"/>
  <c r="AS26" i="26"/>
  <c r="AS27" i="26"/>
  <c r="AS28" i="26"/>
  <c r="AS29" i="26"/>
  <c r="AR2" i="26"/>
  <c r="AR3" i="26"/>
  <c r="AR4" i="26"/>
  <c r="AR5" i="26"/>
  <c r="AR6" i="26"/>
  <c r="AR7" i="26"/>
  <c r="AR8" i="26"/>
  <c r="AR9" i="26"/>
  <c r="AR10" i="26"/>
  <c r="AR11" i="26"/>
  <c r="AR12" i="26"/>
  <c r="AR13" i="26"/>
  <c r="AR14" i="26"/>
  <c r="AR15" i="26"/>
  <c r="AR16" i="26"/>
  <c r="AR17" i="26"/>
  <c r="AR18" i="26"/>
  <c r="AR19" i="26"/>
  <c r="AR20" i="26"/>
  <c r="AR21" i="26"/>
  <c r="AR22" i="26"/>
  <c r="AR23" i="26"/>
  <c r="AR24" i="26"/>
  <c r="AR25" i="26"/>
  <c r="AR29" i="26"/>
  <c r="AO2" i="26" l="1"/>
  <c r="AO3" i="26"/>
  <c r="AO4" i="26"/>
  <c r="AO5" i="26"/>
  <c r="AO6" i="26"/>
  <c r="AO9" i="26"/>
  <c r="AO14" i="26"/>
  <c r="AO18" i="26"/>
  <c r="B56" i="16"/>
  <c r="J56" i="16" a="1"/>
  <c r="J56" i="16" s="1"/>
  <c r="N56" i="16"/>
  <c r="R56" i="16"/>
  <c r="AC56" i="16" a="1"/>
  <c r="AC56" i="16" s="1"/>
  <c r="K134" i="16"/>
  <c r="K135" i="16"/>
  <c r="K136" i="16"/>
  <c r="K137" i="16"/>
  <c r="K138" i="16"/>
  <c r="K133" i="16"/>
  <c r="K132" i="16"/>
  <c r="J3" i="16" a="1"/>
  <c r="J3" i="16" s="1"/>
  <c r="J4" i="16" a="1"/>
  <c r="J4" i="16" s="1"/>
  <c r="J5" i="16" a="1"/>
  <c r="J5" i="16" s="1"/>
  <c r="J6" i="16" a="1"/>
  <c r="J6" i="16" s="1"/>
  <c r="J7" i="16" a="1"/>
  <c r="J7" i="16" s="1"/>
  <c r="J8" i="16" a="1"/>
  <c r="J8" i="16" s="1"/>
  <c r="J9" i="16" a="1"/>
  <c r="J9" i="16" s="1"/>
  <c r="J10" i="16" a="1"/>
  <c r="J10" i="16" s="1"/>
  <c r="J11" i="16" a="1"/>
  <c r="J11" i="16" s="1"/>
  <c r="J12" i="16" a="1"/>
  <c r="J12" i="16" s="1"/>
  <c r="J13" i="16" a="1"/>
  <c r="J13" i="16" s="1"/>
  <c r="J14" i="16" a="1"/>
  <c r="J14" i="16" s="1"/>
  <c r="J15" i="16" a="1"/>
  <c r="J15" i="16" s="1"/>
  <c r="J16" i="16" a="1"/>
  <c r="J16" i="16" s="1"/>
  <c r="J17" i="16" a="1"/>
  <c r="J17" i="16" s="1"/>
  <c r="J18" i="16" a="1"/>
  <c r="J18" i="16" s="1"/>
  <c r="J19" i="16" a="1"/>
  <c r="J19" i="16" s="1"/>
  <c r="J20" i="16" a="1"/>
  <c r="J20" i="16" s="1"/>
  <c r="J21" i="16" a="1"/>
  <c r="J21" i="16" s="1"/>
  <c r="J22" i="16" a="1"/>
  <c r="J22" i="16" s="1"/>
  <c r="J23" i="16" a="1"/>
  <c r="J23" i="16" s="1"/>
  <c r="J24" i="16" a="1"/>
  <c r="J24" i="16" s="1"/>
  <c r="J25" i="16" a="1"/>
  <c r="J25" i="16" s="1"/>
  <c r="J26" i="16" a="1"/>
  <c r="J26" i="16" s="1"/>
  <c r="J27" i="16" a="1"/>
  <c r="J27" i="16" s="1"/>
  <c r="J28" i="16" a="1"/>
  <c r="J28" i="16" s="1"/>
  <c r="J29" i="16" a="1"/>
  <c r="J29" i="16" s="1"/>
  <c r="J30" i="16" a="1"/>
  <c r="J30" i="16" s="1"/>
  <c r="J31" i="16" a="1"/>
  <c r="J31" i="16" s="1"/>
  <c r="J32" i="16" a="1"/>
  <c r="J32" i="16" s="1"/>
  <c r="J33" i="16" a="1"/>
  <c r="J33" i="16" s="1"/>
  <c r="J34" i="16" a="1"/>
  <c r="J34" i="16" s="1"/>
  <c r="J35" i="16" a="1"/>
  <c r="J35" i="16" s="1"/>
  <c r="J36" i="16" a="1"/>
  <c r="J36" i="16" s="1"/>
  <c r="J37" i="16" a="1"/>
  <c r="J37" i="16" s="1"/>
  <c r="J38" i="16" a="1"/>
  <c r="J38" i="16" s="1"/>
  <c r="J39" i="16" a="1"/>
  <c r="J39" i="16" s="1"/>
  <c r="J40" i="16" a="1"/>
  <c r="J40" i="16" s="1"/>
  <c r="J41" i="16" a="1"/>
  <c r="J41" i="16" s="1"/>
  <c r="J42" i="16" a="1"/>
  <c r="J42" i="16" s="1"/>
  <c r="J43" i="16" a="1"/>
  <c r="J43" i="16" s="1"/>
  <c r="J44" i="16" a="1"/>
  <c r="J44" i="16" s="1"/>
  <c r="J45" i="16" a="1"/>
  <c r="J45" i="16" s="1"/>
  <c r="J46" i="16" a="1"/>
  <c r="J46" i="16" s="1"/>
  <c r="J47" i="16" a="1"/>
  <c r="J47" i="16" s="1"/>
  <c r="J48" i="16" a="1"/>
  <c r="J48" i="16" s="1"/>
  <c r="J49" i="16" a="1"/>
  <c r="J49" i="16" s="1"/>
  <c r="J50" i="16" a="1"/>
  <c r="J50" i="16" s="1"/>
  <c r="J51" i="16" a="1"/>
  <c r="J51" i="16" s="1"/>
  <c r="J52" i="16" a="1"/>
  <c r="J52" i="16" s="1"/>
  <c r="J53" i="16" a="1"/>
  <c r="J53" i="16" s="1"/>
  <c r="J54" i="16" a="1"/>
  <c r="J54" i="16" s="1"/>
  <c r="J55" i="16" a="1"/>
  <c r="J55" i="16" s="1"/>
  <c r="J57" i="16" a="1"/>
  <c r="J57" i="16" s="1"/>
  <c r="J58" i="16" a="1"/>
  <c r="J58" i="16" s="1"/>
  <c r="J59" i="16" a="1"/>
  <c r="J59" i="16" s="1"/>
  <c r="J60" i="16" a="1"/>
  <c r="J60" i="16" s="1"/>
  <c r="J61" i="16" a="1"/>
  <c r="J61" i="16" s="1"/>
  <c r="J62" i="16" a="1"/>
  <c r="J62" i="16" s="1"/>
  <c r="J63" i="16" a="1"/>
  <c r="J63" i="16" s="1"/>
  <c r="J64" i="16" a="1"/>
  <c r="J64" i="16" s="1"/>
  <c r="J65" i="16" a="1"/>
  <c r="J65" i="16" s="1"/>
  <c r="J66" i="16" a="1"/>
  <c r="J66" i="16" s="1"/>
  <c r="J67" i="16" a="1"/>
  <c r="J67" i="16" s="1"/>
  <c r="J68" i="16" a="1"/>
  <c r="J68" i="16" s="1"/>
  <c r="J69" i="16" a="1"/>
  <c r="J69" i="16" s="1"/>
  <c r="J70" i="16" a="1"/>
  <c r="J70" i="16" s="1"/>
  <c r="J71" i="16" a="1"/>
  <c r="J71" i="16" s="1"/>
  <c r="J72" i="16" a="1"/>
  <c r="J72" i="16" s="1"/>
  <c r="J73" i="16" a="1"/>
  <c r="J73" i="16" s="1"/>
  <c r="J74" i="16" a="1"/>
  <c r="J74" i="16" s="1"/>
  <c r="J75" i="16" a="1"/>
  <c r="J75" i="16" s="1"/>
  <c r="J76" i="16" a="1"/>
  <c r="J76" i="16" s="1"/>
  <c r="J77" i="16" a="1"/>
  <c r="J77" i="16" s="1"/>
  <c r="J78" i="16" a="1"/>
  <c r="J78" i="16" s="1"/>
  <c r="J79" i="16" a="1"/>
  <c r="J79" i="16" s="1"/>
  <c r="J80" i="16" a="1"/>
  <c r="J80" i="16" s="1"/>
  <c r="J81" i="16" a="1"/>
  <c r="J81" i="16" s="1"/>
  <c r="J82" i="16" a="1"/>
  <c r="J82" i="16" s="1"/>
  <c r="J83" i="16" a="1"/>
  <c r="J83" i="16" s="1"/>
  <c r="J84" i="16" a="1"/>
  <c r="J84" i="16" s="1"/>
  <c r="J85" i="16" a="1"/>
  <c r="J85" i="16" s="1"/>
  <c r="J86" i="16" a="1"/>
  <c r="J86" i="16" s="1"/>
  <c r="J87" i="16" a="1"/>
  <c r="J87" i="16" s="1"/>
  <c r="J88" i="16" a="1"/>
  <c r="J88" i="16" s="1"/>
  <c r="J89" i="16" a="1"/>
  <c r="J89" i="16" s="1"/>
  <c r="J90" i="16" a="1"/>
  <c r="J90" i="16" s="1"/>
  <c r="J91" i="16" a="1"/>
  <c r="J91" i="16" s="1"/>
  <c r="J92" i="16" a="1"/>
  <c r="J92" i="16" s="1"/>
  <c r="J93" i="16" a="1"/>
  <c r="J93" i="16" s="1"/>
  <c r="J94" i="16" a="1"/>
  <c r="J94" i="16" s="1"/>
  <c r="J95" i="16" a="1"/>
  <c r="J95" i="16" s="1"/>
  <c r="J96" i="16" a="1"/>
  <c r="J96" i="16" s="1"/>
  <c r="J97" i="16" a="1"/>
  <c r="J97" i="16" s="1"/>
  <c r="J98" i="16" a="1"/>
  <c r="J98" i="16" s="1"/>
  <c r="J99" i="16" a="1"/>
  <c r="J99" i="16" s="1"/>
  <c r="J100" i="16" a="1"/>
  <c r="J100" i="16" s="1"/>
  <c r="J101" i="16" a="1"/>
  <c r="J101" i="16" s="1"/>
  <c r="J102" i="16" a="1"/>
  <c r="J102" i="16" s="1"/>
  <c r="J103" i="16" a="1"/>
  <c r="J103" i="16" s="1"/>
  <c r="J104" i="16" a="1"/>
  <c r="J104" i="16" s="1"/>
  <c r="J105" i="16" a="1"/>
  <c r="J105" i="16" s="1"/>
  <c r="J106" i="16" a="1"/>
  <c r="J106" i="16" s="1"/>
  <c r="J107" i="16" a="1"/>
  <c r="J107" i="16" s="1"/>
  <c r="J108" i="16" a="1"/>
  <c r="J108" i="16" s="1"/>
  <c r="J109" i="16" a="1"/>
  <c r="J109" i="16" s="1"/>
  <c r="J110" i="16" a="1"/>
  <c r="J110" i="16" s="1"/>
  <c r="J111" i="16" a="1"/>
  <c r="J111" i="16" s="1"/>
  <c r="J112" i="16" a="1"/>
  <c r="J112" i="16" s="1"/>
  <c r="J113" i="16" a="1"/>
  <c r="J113" i="16" s="1"/>
  <c r="J114" i="16" a="1"/>
  <c r="J114" i="16" s="1"/>
  <c r="J115" i="16" a="1"/>
  <c r="J115" i="16" s="1"/>
  <c r="J116" i="16" a="1"/>
  <c r="J116" i="16" s="1"/>
  <c r="J117" i="16" a="1"/>
  <c r="J117" i="16" s="1"/>
  <c r="J118" i="16" a="1"/>
  <c r="J118" i="16" s="1"/>
  <c r="L118" i="16" s="1"/>
  <c r="J119" i="16" a="1"/>
  <c r="J119" i="16" s="1"/>
  <c r="J120" i="16" a="1"/>
  <c r="J120" i="16" s="1"/>
  <c r="J121" i="16" a="1"/>
  <c r="J121" i="16" s="1"/>
  <c r="J122" i="16" a="1"/>
  <c r="J122" i="16" s="1"/>
  <c r="L122" i="16" s="1"/>
  <c r="J123" i="16" a="1"/>
  <c r="J123" i="16" s="1"/>
  <c r="L123" i="16" s="1"/>
  <c r="J124" i="16" a="1"/>
  <c r="J124" i="16" s="1"/>
  <c r="J125" i="16" a="1"/>
  <c r="J125" i="16" s="1"/>
  <c r="J126" i="16" a="1"/>
  <c r="J126" i="16" s="1"/>
  <c r="J127" i="16" a="1"/>
  <c r="J127" i="16" s="1"/>
  <c r="L127" i="16" s="1"/>
  <c r="J128" i="16" a="1"/>
  <c r="J128" i="16" s="1"/>
  <c r="L128" i="16" s="1"/>
  <c r="J129" i="16" a="1"/>
  <c r="J129" i="16" s="1"/>
  <c r="L129" i="16" s="1"/>
  <c r="J130" i="16" a="1"/>
  <c r="J130" i="16" s="1"/>
  <c r="L130" i="16" s="1"/>
  <c r="J131" i="16" a="1"/>
  <c r="J131" i="16" s="1"/>
  <c r="L131" i="16" s="1"/>
  <c r="J132" i="16" a="1"/>
  <c r="J132" i="16" s="1"/>
  <c r="J133" i="16" a="1"/>
  <c r="J133" i="16" s="1"/>
  <c r="L133" i="16" s="1"/>
  <c r="J134" i="16" a="1"/>
  <c r="J134" i="16" s="1"/>
  <c r="J135" i="16" a="1"/>
  <c r="J135" i="16" s="1"/>
  <c r="J136" i="16" a="1"/>
  <c r="J136" i="16" s="1"/>
  <c r="J137" i="16" a="1"/>
  <c r="J137" i="16" s="1"/>
  <c r="J138" i="16" a="1"/>
  <c r="J138" i="16" s="1"/>
  <c r="J139" i="16" a="1"/>
  <c r="J139" i="16" s="1"/>
  <c r="L139" i="16" s="1"/>
  <c r="J140" i="16" a="1"/>
  <c r="J140" i="16" s="1"/>
  <c r="J141" i="16" a="1"/>
  <c r="J141" i="16" s="1"/>
  <c r="J142" i="16" a="1"/>
  <c r="J142" i="16" s="1"/>
  <c r="T142" i="16" s="1"/>
  <c r="J143" i="16" a="1"/>
  <c r="J143" i="16" s="1"/>
  <c r="T143" i="16" s="1"/>
  <c r="J144" i="16" a="1"/>
  <c r="J144" i="16" s="1"/>
  <c r="L144" i="16" s="1"/>
  <c r="J145" i="16" a="1"/>
  <c r="J145" i="16" s="1"/>
  <c r="L145" i="16" s="1"/>
  <c r="J146" i="16" a="1"/>
  <c r="J146" i="16" s="1"/>
  <c r="L146" i="16" s="1"/>
  <c r="J147" i="16" a="1"/>
  <c r="J147" i="16" s="1"/>
  <c r="J148" i="16" a="1"/>
  <c r="J148" i="16" s="1"/>
  <c r="J149" i="16" a="1"/>
  <c r="J149" i="16" s="1"/>
  <c r="J150" i="16" a="1"/>
  <c r="J150" i="16" s="1"/>
  <c r="J151" i="16" a="1"/>
  <c r="J151" i="16" s="1"/>
  <c r="J152" i="16" a="1"/>
  <c r="J152" i="16" s="1"/>
  <c r="J153" i="16" a="1"/>
  <c r="J153" i="16" s="1"/>
  <c r="T153" i="16" s="1"/>
  <c r="J154" i="16" a="1"/>
  <c r="J154" i="16" s="1"/>
  <c r="K127" i="16"/>
  <c r="K128" i="16"/>
  <c r="K129" i="16"/>
  <c r="K130" i="16"/>
  <c r="K131" i="16"/>
  <c r="K118" i="16"/>
  <c r="K119" i="16"/>
  <c r="K120" i="16"/>
  <c r="K121" i="16"/>
  <c r="K122" i="16"/>
  <c r="K123" i="16"/>
  <c r="K124" i="16"/>
  <c r="K125" i="16"/>
  <c r="K126"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AC118" i="16" a="1"/>
  <c r="AC118" i="16" s="1"/>
  <c r="AC119" i="16" a="1"/>
  <c r="AC119" i="16" s="1"/>
  <c r="AC120" i="16" a="1"/>
  <c r="AC120" i="16" s="1"/>
  <c r="AC121" i="16" a="1"/>
  <c r="AC121" i="16" s="1"/>
  <c r="AC122" i="16" a="1"/>
  <c r="AC122" i="16" s="1"/>
  <c r="AC123" i="16" a="1"/>
  <c r="AC123" i="16" s="1"/>
  <c r="AC124" i="16" a="1"/>
  <c r="AC124" i="16" s="1"/>
  <c r="AC125" i="16" a="1"/>
  <c r="AC125" i="16" s="1"/>
  <c r="AC126" i="16" a="1"/>
  <c r="AC126" i="16" s="1"/>
  <c r="AC127" i="16" a="1"/>
  <c r="AC127" i="16" s="1"/>
  <c r="AC128" i="16" a="1"/>
  <c r="AC128" i="16" s="1"/>
  <c r="AC129" i="16" a="1"/>
  <c r="AC129" i="16" s="1"/>
  <c r="AC130" i="16" a="1"/>
  <c r="AC130" i="16" s="1"/>
  <c r="AC131" i="16" a="1"/>
  <c r="AC131" i="16" s="1"/>
  <c r="AC132" i="16" a="1"/>
  <c r="AC132" i="16" s="1"/>
  <c r="AC133" i="16" a="1"/>
  <c r="AC133" i="16" s="1"/>
  <c r="AC134" i="16" a="1"/>
  <c r="AC134" i="16" s="1"/>
  <c r="AC135" i="16" a="1"/>
  <c r="AC135" i="16" s="1"/>
  <c r="AC136" i="16" a="1"/>
  <c r="AC136" i="16" s="1"/>
  <c r="AC137" i="16" a="1"/>
  <c r="AC137" i="16" s="1"/>
  <c r="AC138" i="16" a="1"/>
  <c r="AC138" i="16" s="1"/>
  <c r="AC139" i="16" a="1"/>
  <c r="AC139" i="16" s="1"/>
  <c r="AC140" i="16" a="1"/>
  <c r="AC140" i="16" s="1"/>
  <c r="AC141" i="16" a="1"/>
  <c r="AC141" i="16" s="1"/>
  <c r="AC142" i="16" a="1"/>
  <c r="AC142" i="16" s="1"/>
  <c r="AC143" i="16" a="1"/>
  <c r="AC143" i="16" s="1"/>
  <c r="AC144" i="16" a="1"/>
  <c r="AC144" i="16" s="1"/>
  <c r="AC145" i="16" a="1"/>
  <c r="AC145" i="16" s="1"/>
  <c r="AC146" i="16" a="1"/>
  <c r="AC146" i="16" s="1"/>
  <c r="AC147" i="16" a="1"/>
  <c r="AC147" i="16" s="1"/>
  <c r="AC148" i="16" a="1"/>
  <c r="AC148" i="16" s="1"/>
  <c r="AC149" i="16" a="1"/>
  <c r="AC149" i="16" s="1"/>
  <c r="AC150" i="16" a="1"/>
  <c r="AC150" i="16" s="1"/>
  <c r="AC151" i="16" a="1"/>
  <c r="AC151" i="16" s="1"/>
  <c r="AC152" i="16" a="1"/>
  <c r="AC152" i="16" s="1"/>
  <c r="AC153" i="16" a="1"/>
  <c r="AC153" i="16" s="1"/>
  <c r="AC154" i="16" a="1"/>
  <c r="AC154" i="16" s="1"/>
  <c r="AL29" i="26"/>
  <c r="AN29" i="26" s="1"/>
  <c r="AQ29" i="26" s="1"/>
  <c r="AT29" i="26" s="1"/>
  <c r="AL2" i="26"/>
  <c r="AN2" i="26" s="1"/>
  <c r="AQ2" i="26" s="1"/>
  <c r="AL3" i="26"/>
  <c r="AN3" i="26" s="1"/>
  <c r="AQ3" i="26" s="1"/>
  <c r="AL4" i="26"/>
  <c r="AN4" i="26" s="1"/>
  <c r="AQ4" i="26" s="1"/>
  <c r="AL5" i="26"/>
  <c r="AN5" i="26" s="1"/>
  <c r="AQ5" i="26" s="1"/>
  <c r="AL6" i="26"/>
  <c r="AN6" i="26" s="1"/>
  <c r="AQ6" i="26" s="1"/>
  <c r="AL7" i="26"/>
  <c r="AN7" i="26" s="1"/>
  <c r="AQ7" i="26" s="1"/>
  <c r="AT7" i="26" s="1"/>
  <c r="AL8" i="26"/>
  <c r="AN8" i="26" s="1"/>
  <c r="AQ8" i="26" s="1"/>
  <c r="AT8" i="26" s="1"/>
  <c r="AL9" i="26"/>
  <c r="AN9" i="26" s="1"/>
  <c r="AQ9" i="26" s="1"/>
  <c r="AL10" i="26"/>
  <c r="AN10" i="26" s="1"/>
  <c r="AQ10" i="26" s="1"/>
  <c r="AT10" i="26" s="1"/>
  <c r="AL11" i="26"/>
  <c r="AN11" i="26" s="1"/>
  <c r="AQ11" i="26" s="1"/>
  <c r="AT11" i="26" s="1"/>
  <c r="AL12" i="26"/>
  <c r="AN12" i="26" s="1"/>
  <c r="AQ12" i="26" s="1"/>
  <c r="AT12" i="26" s="1"/>
  <c r="AL13" i="26"/>
  <c r="AN13" i="26" s="1"/>
  <c r="AQ13" i="26" s="1"/>
  <c r="AT13" i="26" s="1"/>
  <c r="AL14" i="26"/>
  <c r="AN14" i="26" s="1"/>
  <c r="AQ14" i="26" s="1"/>
  <c r="AL15" i="26"/>
  <c r="AN15" i="26" s="1"/>
  <c r="AQ15" i="26" s="1"/>
  <c r="AT15" i="26" s="1"/>
  <c r="AL16" i="26"/>
  <c r="AN16" i="26" s="1"/>
  <c r="AQ16" i="26" s="1"/>
  <c r="AT16" i="26" s="1"/>
  <c r="AL17" i="26"/>
  <c r="AN17" i="26" s="1"/>
  <c r="AQ17" i="26" s="1"/>
  <c r="AT17" i="26" s="1"/>
  <c r="AL18" i="26"/>
  <c r="AN18" i="26" s="1"/>
  <c r="AQ18" i="26" s="1"/>
  <c r="AL19" i="26"/>
  <c r="AN19" i="26" s="1"/>
  <c r="AQ19" i="26" s="1"/>
  <c r="AT19" i="26" s="1"/>
  <c r="AL20" i="26"/>
  <c r="AN20" i="26" s="1"/>
  <c r="AQ20" i="26" s="1"/>
  <c r="AT20" i="26" s="1"/>
  <c r="AL21" i="26"/>
  <c r="AN21" i="26" s="1"/>
  <c r="AQ21" i="26" s="1"/>
  <c r="AT21" i="26" s="1"/>
  <c r="AL22" i="26"/>
  <c r="AN22" i="26" s="1"/>
  <c r="AQ22" i="26" s="1"/>
  <c r="AT22" i="26" s="1"/>
  <c r="AL23" i="26"/>
  <c r="AN23" i="26" s="1"/>
  <c r="AQ23" i="26" s="1"/>
  <c r="AT23" i="26" s="1"/>
  <c r="AL24" i="26"/>
  <c r="AN24" i="26" s="1"/>
  <c r="AQ24" i="26" s="1"/>
  <c r="AT24" i="26" s="1"/>
  <c r="AL25" i="26"/>
  <c r="AN25" i="26" s="1"/>
  <c r="AQ25" i="26" s="1"/>
  <c r="AT25" i="26" s="1"/>
  <c r="L142" i="16" l="1"/>
  <c r="T144" i="16"/>
  <c r="U144" i="16" s="1"/>
  <c r="V144" i="16" s="1"/>
  <c r="T136" i="16"/>
  <c r="U136" i="16" s="1"/>
  <c r="V136" i="16" s="1"/>
  <c r="L56" i="16"/>
  <c r="T56" i="16"/>
  <c r="U56" i="16" s="1"/>
  <c r="V56" i="16" s="1"/>
  <c r="T128" i="16"/>
  <c r="U128" i="16" s="1"/>
  <c r="V128" i="16" s="1"/>
  <c r="U143" i="16"/>
  <c r="V143" i="16" s="1"/>
  <c r="T137" i="16"/>
  <c r="U137" i="16" s="1"/>
  <c r="V137" i="16" s="1"/>
  <c r="L137" i="16"/>
  <c r="T138" i="16"/>
  <c r="U138" i="16" s="1"/>
  <c r="V138" i="16" s="1"/>
  <c r="L138" i="16"/>
  <c r="L136" i="16"/>
  <c r="U153" i="16"/>
  <c r="V153" i="16" s="1"/>
  <c r="T149" i="16"/>
  <c r="U149" i="16" s="1"/>
  <c r="V149" i="16" s="1"/>
  <c r="L149" i="16"/>
  <c r="T151" i="16"/>
  <c r="U151" i="16" s="1"/>
  <c r="V151" i="16" s="1"/>
  <c r="L151" i="16"/>
  <c r="L143" i="16"/>
  <c r="L154" i="16"/>
  <c r="T154" i="16"/>
  <c r="U154" i="16" s="1"/>
  <c r="V154" i="16" s="1"/>
  <c r="T127" i="16"/>
  <c r="U127" i="16" s="1"/>
  <c r="V127" i="16" s="1"/>
  <c r="U142" i="16"/>
  <c r="V142" i="16" s="1"/>
  <c r="T150" i="16"/>
  <c r="U150" i="16" s="1"/>
  <c r="V150" i="16" s="1"/>
  <c r="L150" i="16"/>
  <c r="L153" i="16"/>
  <c r="T134" i="16"/>
  <c r="U134" i="16" s="1"/>
  <c r="V134" i="16" s="1"/>
  <c r="L134" i="16"/>
  <c r="T146" i="16"/>
  <c r="U146" i="16" s="1"/>
  <c r="V146" i="16" s="1"/>
  <c r="T139" i="16"/>
  <c r="U139" i="16" s="1"/>
  <c r="V139" i="16" s="1"/>
  <c r="T133" i="16"/>
  <c r="U133" i="16" s="1"/>
  <c r="V133" i="16" s="1"/>
  <c r="L141" i="16"/>
  <c r="T141" i="16"/>
  <c r="U141" i="16" s="1"/>
  <c r="V141" i="16" s="1"/>
  <c r="T131" i="16"/>
  <c r="U131" i="16" s="1"/>
  <c r="V131" i="16" s="1"/>
  <c r="T129" i="16"/>
  <c r="U129" i="16" s="1"/>
  <c r="V129" i="16" s="1"/>
  <c r="T130" i="16"/>
  <c r="U130" i="16" s="1"/>
  <c r="V130" i="16" s="1"/>
  <c r="L132" i="16"/>
  <c r="T132" i="16"/>
  <c r="U132" i="16" s="1"/>
  <c r="V132" i="16" s="1"/>
  <c r="T124" i="16"/>
  <c r="U124" i="16" s="1"/>
  <c r="V124" i="16" s="1"/>
  <c r="T126" i="16"/>
  <c r="U126" i="16" s="1"/>
  <c r="V126" i="16" s="1"/>
  <c r="L121" i="16"/>
  <c r="T121" i="16"/>
  <c r="U121" i="16" s="1"/>
  <c r="V121" i="16" s="1"/>
  <c r="L119" i="16"/>
  <c r="T119" i="16"/>
  <c r="U119" i="16" s="1"/>
  <c r="V119" i="16" s="1"/>
  <c r="T125" i="16"/>
  <c r="U125" i="16" s="1"/>
  <c r="V125" i="16" s="1"/>
  <c r="L125" i="16"/>
  <c r="L126" i="16"/>
  <c r="L124" i="16"/>
  <c r="T123" i="16"/>
  <c r="U123" i="16" s="1"/>
  <c r="V123" i="16" s="1"/>
  <c r="T118" i="16"/>
  <c r="U118" i="16" s="1"/>
  <c r="V118" i="16" s="1"/>
  <c r="L120" i="16"/>
  <c r="T120" i="16"/>
  <c r="U120" i="16" s="1"/>
  <c r="V120" i="16" s="1"/>
  <c r="L152" i="16"/>
  <c r="T152" i="16"/>
  <c r="U152" i="16" s="1"/>
  <c r="V152" i="16" s="1"/>
  <c r="T145" i="16"/>
  <c r="U145" i="16" s="1"/>
  <c r="V145" i="16" s="1"/>
  <c r="T140" i="16"/>
  <c r="U140" i="16" s="1"/>
  <c r="V140" i="16" s="1"/>
  <c r="L140" i="16"/>
  <c r="L135" i="16"/>
  <c r="T135" i="16"/>
  <c r="U135" i="16" s="1"/>
  <c r="V135" i="16" s="1"/>
  <c r="T148" i="16"/>
  <c r="U148" i="16" s="1"/>
  <c r="V148" i="16" s="1"/>
  <c r="L148" i="16"/>
  <c r="L147" i="16"/>
  <c r="T147" i="16"/>
  <c r="U147" i="16" s="1"/>
  <c r="V147" i="16" s="1"/>
  <c r="T122" i="16"/>
  <c r="U122" i="16" s="1"/>
  <c r="V122" i="16" s="1"/>
  <c r="B91" i="16"/>
  <c r="N91" i="16"/>
  <c r="R91" i="16"/>
  <c r="AC91" i="16" a="1"/>
  <c r="AC91" i="16" s="1"/>
  <c r="B92" i="16"/>
  <c r="N92" i="16"/>
  <c r="R92" i="16"/>
  <c r="AC92" i="16" a="1"/>
  <c r="AC92" i="16" s="1"/>
  <c r="B70" i="16"/>
  <c r="N70" i="16"/>
  <c r="R70" i="16"/>
  <c r="AC70" i="16" a="1"/>
  <c r="AC70" i="16" s="1"/>
  <c r="B71" i="16"/>
  <c r="L71" i="16"/>
  <c r="N71" i="16"/>
  <c r="R71" i="16"/>
  <c r="AC71" i="16" a="1"/>
  <c r="AC71" i="16" s="1"/>
  <c r="B72" i="16"/>
  <c r="N72" i="16"/>
  <c r="R72" i="16"/>
  <c r="AC72" i="16" a="1"/>
  <c r="AC72" i="16" s="1"/>
  <c r="B73" i="16"/>
  <c r="L73" i="16"/>
  <c r="N73" i="16"/>
  <c r="R73" i="16"/>
  <c r="AC73" i="16" a="1"/>
  <c r="AC73" i="16" s="1"/>
  <c r="B89" i="16"/>
  <c r="N89" i="16"/>
  <c r="R89" i="16"/>
  <c r="AC89" i="16" a="1"/>
  <c r="AC89" i="16" s="1"/>
  <c r="B90" i="16"/>
  <c r="L90" i="16"/>
  <c r="N90" i="16"/>
  <c r="R90" i="16"/>
  <c r="AC90" i="16" a="1"/>
  <c r="AC90" i="16" s="1"/>
  <c r="B60" i="16"/>
  <c r="N60" i="16"/>
  <c r="R60" i="16"/>
  <c r="AC60" i="16" a="1"/>
  <c r="AC60" i="16" s="1"/>
  <c r="B61" i="16"/>
  <c r="N61" i="16"/>
  <c r="R61" i="16"/>
  <c r="AC61" i="16" a="1"/>
  <c r="AC61" i="16" s="1"/>
  <c r="B62" i="16"/>
  <c r="N62" i="16"/>
  <c r="R62" i="16"/>
  <c r="AC62" i="16" a="1"/>
  <c r="AC62" i="16" s="1"/>
  <c r="B63" i="16"/>
  <c r="N63" i="16"/>
  <c r="R63" i="16"/>
  <c r="AC63" i="16" a="1"/>
  <c r="AC63" i="16" s="1"/>
  <c r="B64" i="16"/>
  <c r="N64" i="16"/>
  <c r="R64" i="16"/>
  <c r="AC64" i="16" a="1"/>
  <c r="AC64" i="16" s="1"/>
  <c r="B65" i="16"/>
  <c r="N65" i="16"/>
  <c r="R65" i="16"/>
  <c r="AC65" i="16" a="1"/>
  <c r="AC65" i="16" s="1"/>
  <c r="B66" i="16"/>
  <c r="N66" i="16"/>
  <c r="R66" i="16"/>
  <c r="AC66" i="16" a="1"/>
  <c r="AC66" i="16" s="1"/>
  <c r="B67" i="16"/>
  <c r="N67" i="16"/>
  <c r="R67" i="16"/>
  <c r="AC67" i="16" a="1"/>
  <c r="AC67" i="16" s="1"/>
  <c r="B68" i="16"/>
  <c r="N68" i="16"/>
  <c r="R68" i="16"/>
  <c r="AC68" i="16" a="1"/>
  <c r="AC68" i="16" s="1"/>
  <c r="B69" i="16"/>
  <c r="N69" i="16"/>
  <c r="R69" i="16"/>
  <c r="AC69" i="16" a="1"/>
  <c r="AC69" i="16" s="1"/>
  <c r="L92" i="16" l="1"/>
  <c r="T92" i="16"/>
  <c r="U92" i="16" s="1"/>
  <c r="V92" i="16" s="1"/>
  <c r="L91" i="16"/>
  <c r="T91" i="16"/>
  <c r="U91" i="16" s="1"/>
  <c r="V91" i="16" s="1"/>
  <c r="T70" i="16"/>
  <c r="U70" i="16" s="1"/>
  <c r="V70" i="16" s="1"/>
  <c r="L70" i="16"/>
  <c r="T71" i="16"/>
  <c r="U71" i="16" s="1"/>
  <c r="V71" i="16" s="1"/>
  <c r="L72" i="16"/>
  <c r="T72" i="16"/>
  <c r="U72" i="16" s="1"/>
  <c r="V72" i="16" s="1"/>
  <c r="T73" i="16"/>
  <c r="U73" i="16" s="1"/>
  <c r="V73" i="16" s="1"/>
  <c r="T89" i="16"/>
  <c r="U89" i="16" s="1"/>
  <c r="V89" i="16" s="1"/>
  <c r="L89" i="16"/>
  <c r="T90" i="16"/>
  <c r="U90" i="16" s="1"/>
  <c r="V90" i="16" s="1"/>
  <c r="L69" i="16"/>
  <c r="T69" i="16"/>
  <c r="U69" i="16" s="1"/>
  <c r="V69" i="16" s="1"/>
  <c r="L67" i="16"/>
  <c r="T67" i="16"/>
  <c r="U67" i="16" s="1"/>
  <c r="V67" i="16" s="1"/>
  <c r="L65" i="16"/>
  <c r="T65" i="16"/>
  <c r="U65" i="16" s="1"/>
  <c r="V65" i="16" s="1"/>
  <c r="L63" i="16"/>
  <c r="T63" i="16"/>
  <c r="U63" i="16" s="1"/>
  <c r="V63" i="16" s="1"/>
  <c r="L61" i="16"/>
  <c r="T61" i="16"/>
  <c r="U61" i="16" s="1"/>
  <c r="V61" i="16" s="1"/>
  <c r="L68" i="16"/>
  <c r="T68" i="16"/>
  <c r="U68" i="16" s="1"/>
  <c r="V68" i="16" s="1"/>
  <c r="L66" i="16"/>
  <c r="T66" i="16"/>
  <c r="U66" i="16" s="1"/>
  <c r="V66" i="16" s="1"/>
  <c r="T64" i="16"/>
  <c r="U64" i="16" s="1"/>
  <c r="V64" i="16" s="1"/>
  <c r="L64" i="16"/>
  <c r="L62" i="16"/>
  <c r="T62" i="16"/>
  <c r="U62" i="16" s="1"/>
  <c r="V62" i="16" s="1"/>
  <c r="T60" i="16"/>
  <c r="U60" i="16" s="1"/>
  <c r="V60" i="16" s="1"/>
  <c r="L60" i="16"/>
  <c r="B42" i="16" l="1"/>
  <c r="B43" i="16"/>
  <c r="B44" i="16"/>
  <c r="B45" i="16"/>
  <c r="B46" i="16"/>
  <c r="B47" i="16"/>
  <c r="B48" i="16"/>
  <c r="B49" i="16"/>
  <c r="B50" i="16"/>
  <c r="B51" i="16"/>
  <c r="B52" i="16"/>
  <c r="B53" i="16"/>
  <c r="B54" i="16"/>
  <c r="B55" i="16"/>
  <c r="B57" i="16"/>
  <c r="B58" i="16"/>
  <c r="B59" i="16"/>
  <c r="B74" i="16"/>
  <c r="B75" i="16"/>
  <c r="B76" i="16"/>
  <c r="B77" i="16"/>
  <c r="B78" i="16"/>
  <c r="B79" i="16"/>
  <c r="B80" i="16"/>
  <c r="B81" i="16"/>
  <c r="B82" i="16"/>
  <c r="B83" i="16"/>
  <c r="B84" i="16"/>
  <c r="B85" i="16"/>
  <c r="B86" i="16"/>
  <c r="B87" i="16"/>
  <c r="B88"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T116" i="16"/>
  <c r="N116" i="16"/>
  <c r="R116" i="16"/>
  <c r="AC116" i="16" a="1"/>
  <c r="AC116" i="16" s="1"/>
  <c r="T117" i="16"/>
  <c r="N117" i="16"/>
  <c r="R117" i="16"/>
  <c r="AC117" i="16" a="1"/>
  <c r="AC117" i="16" s="1"/>
  <c r="N84" i="16"/>
  <c r="R84" i="16"/>
  <c r="AC84" i="16" a="1"/>
  <c r="AC84" i="16" s="1"/>
  <c r="N85" i="16"/>
  <c r="R85" i="16"/>
  <c r="AC85" i="16" a="1"/>
  <c r="AC85" i="16" s="1"/>
  <c r="N86" i="16"/>
  <c r="R86" i="16"/>
  <c r="AC86" i="16" a="1"/>
  <c r="AC86" i="16" s="1"/>
  <c r="N87" i="16"/>
  <c r="R87" i="16"/>
  <c r="AC87" i="16" a="1"/>
  <c r="AC87" i="16" s="1"/>
  <c r="N88" i="16"/>
  <c r="R88" i="16"/>
  <c r="AC88" i="16" a="1"/>
  <c r="AC88" i="16" s="1"/>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7" i="16"/>
  <c r="N58" i="16"/>
  <c r="N59" i="16"/>
  <c r="N74" i="16"/>
  <c r="N75" i="16"/>
  <c r="N76" i="16"/>
  <c r="N77" i="16"/>
  <c r="N78" i="16"/>
  <c r="N79" i="16"/>
  <c r="N80" i="16"/>
  <c r="N81" i="16"/>
  <c r="N82" i="16"/>
  <c r="N83" i="16"/>
  <c r="N93" i="16"/>
  <c r="N94" i="16"/>
  <c r="N95" i="16"/>
  <c r="N96" i="16"/>
  <c r="N97" i="16"/>
  <c r="N98" i="16"/>
  <c r="N99" i="16"/>
  <c r="N100" i="16"/>
  <c r="N101" i="16"/>
  <c r="N102" i="16"/>
  <c r="N103" i="16"/>
  <c r="N104" i="16"/>
  <c r="N105" i="16"/>
  <c r="N106" i="16"/>
  <c r="N107" i="16"/>
  <c r="N108" i="16"/>
  <c r="N109" i="16"/>
  <c r="N110" i="16"/>
  <c r="N111" i="16"/>
  <c r="N112" i="16"/>
  <c r="N113" i="16"/>
  <c r="N114" i="16"/>
  <c r="N115" i="16"/>
  <c r="R58" i="16"/>
  <c r="AC58" i="16" a="1"/>
  <c r="AC58" i="16" s="1"/>
  <c r="R59" i="16"/>
  <c r="AC59" i="16" a="1"/>
  <c r="AC59" i="16" s="1"/>
  <c r="U117" i="16" l="1"/>
  <c r="V117" i="16" s="1"/>
  <c r="U116" i="16"/>
  <c r="V116" i="16" s="1"/>
  <c r="L117" i="16"/>
  <c r="L116" i="16"/>
  <c r="L85" i="16"/>
  <c r="T85" i="16"/>
  <c r="U85" i="16" s="1"/>
  <c r="V85" i="16" s="1"/>
  <c r="L87" i="16"/>
  <c r="T87" i="16"/>
  <c r="U87" i="16" s="1"/>
  <c r="V87" i="16" s="1"/>
  <c r="L88" i="16"/>
  <c r="T88" i="16"/>
  <c r="U88" i="16" s="1"/>
  <c r="V88" i="16" s="1"/>
  <c r="L84" i="16"/>
  <c r="T84" i="16"/>
  <c r="U84" i="16" s="1"/>
  <c r="V84" i="16" s="1"/>
  <c r="L86" i="16"/>
  <c r="T86" i="16"/>
  <c r="U86" i="16" s="1"/>
  <c r="V86" i="16" s="1"/>
  <c r="L58" i="16"/>
  <c r="T58" i="16"/>
  <c r="U58" i="16" s="1"/>
  <c r="V58" i="16" s="1"/>
  <c r="L59" i="16"/>
  <c r="T59" i="16"/>
  <c r="U59" i="16" s="1"/>
  <c r="V59" i="16" s="1"/>
  <c r="T93" i="16" l="1"/>
  <c r="T95" i="16"/>
  <c r="T96" i="16"/>
  <c r="L97" i="16"/>
  <c r="T98" i="16"/>
  <c r="T99" i="16"/>
  <c r="R93" i="16"/>
  <c r="R94" i="16"/>
  <c r="R95" i="16"/>
  <c r="R96" i="16"/>
  <c r="R97" i="16"/>
  <c r="R98" i="16"/>
  <c r="R99" i="16"/>
  <c r="AC93" i="16" a="1"/>
  <c r="AC93" i="16" s="1"/>
  <c r="AC94" i="16" a="1"/>
  <c r="AC94" i="16" s="1"/>
  <c r="AC95" i="16" a="1"/>
  <c r="AC95" i="16" s="1"/>
  <c r="AC96" i="16" a="1"/>
  <c r="AC96" i="16" s="1"/>
  <c r="AC97" i="16" a="1"/>
  <c r="AC97" i="16" s="1"/>
  <c r="AC98" i="16" a="1"/>
  <c r="AC98" i="16" s="1"/>
  <c r="AC99" i="16" a="1"/>
  <c r="AC99" i="16" s="1"/>
  <c r="T100" i="16"/>
  <c r="L101" i="16"/>
  <c r="L102" i="16"/>
  <c r="L103" i="16"/>
  <c r="L105" i="16"/>
  <c r="T106" i="16"/>
  <c r="R100" i="16"/>
  <c r="R101" i="16"/>
  <c r="R102" i="16"/>
  <c r="R103" i="16"/>
  <c r="R104" i="16"/>
  <c r="R105" i="16"/>
  <c r="R106" i="16"/>
  <c r="AC100" i="16" a="1"/>
  <c r="AC100" i="16" s="1"/>
  <c r="AC101" i="16" a="1"/>
  <c r="AC101" i="16" s="1"/>
  <c r="AC102" i="16" a="1"/>
  <c r="AC102" i="16" s="1"/>
  <c r="AC103" i="16" a="1"/>
  <c r="AC103" i="16" s="1"/>
  <c r="AC104" i="16" a="1"/>
  <c r="AC104" i="16" s="1"/>
  <c r="AC105" i="16" a="1"/>
  <c r="AC105" i="16" s="1"/>
  <c r="AC106" i="16" a="1"/>
  <c r="AC106" i="16" s="1"/>
  <c r="T107" i="16"/>
  <c r="T108" i="16"/>
  <c r="R107" i="16"/>
  <c r="R108" i="16"/>
  <c r="AC107" i="16" a="1"/>
  <c r="AC107" i="16" s="1"/>
  <c r="AC108" i="16" a="1"/>
  <c r="AC108" i="16" s="1"/>
  <c r="R74" i="16"/>
  <c r="AC74" i="16" a="1"/>
  <c r="AC74" i="16" s="1"/>
  <c r="I28" i="26"/>
  <c r="I30" i="26" s="1"/>
  <c r="AV28" i="26"/>
  <c r="U27" i="26"/>
  <c r="O27" i="26"/>
  <c r="Z27" i="26" s="1"/>
  <c r="M27" i="26"/>
  <c r="N27" i="26" s="1"/>
  <c r="K27" i="26"/>
  <c r="AL27" i="26" s="1"/>
  <c r="AN27" i="26" s="1"/>
  <c r="AQ27" i="26" s="1"/>
  <c r="U26" i="26"/>
  <c r="O26" i="26"/>
  <c r="Z26" i="26" s="1"/>
  <c r="M26" i="26"/>
  <c r="N26" i="26" s="1"/>
  <c r="N28" i="26" s="1"/>
  <c r="K26" i="26"/>
  <c r="AL26" i="26" l="1"/>
  <c r="AN26" i="26" s="1"/>
  <c r="AQ26" i="26" s="1"/>
  <c r="V27" i="26"/>
  <c r="X27" i="26" s="1"/>
  <c r="K28" i="26"/>
  <c r="AL28" i="26" s="1"/>
  <c r="AN28" i="26" s="1"/>
  <c r="AQ28" i="26" s="1"/>
  <c r="U98" i="16"/>
  <c r="V98" i="16" s="1"/>
  <c r="U108" i="16"/>
  <c r="V108" i="16" s="1"/>
  <c r="U99" i="16"/>
  <c r="V99" i="16" s="1"/>
  <c r="U96" i="16"/>
  <c r="V96" i="16" s="1"/>
  <c r="T103" i="16"/>
  <c r="U103" i="16" s="1"/>
  <c r="V103" i="16" s="1"/>
  <c r="U106" i="16"/>
  <c r="V106" i="16" s="1"/>
  <c r="U95" i="16"/>
  <c r="V95" i="16" s="1"/>
  <c r="L104" i="16"/>
  <c r="T104" i="16"/>
  <c r="U104" i="16" s="1"/>
  <c r="V104" i="16" s="1"/>
  <c r="U100" i="16"/>
  <c r="V100" i="16" s="1"/>
  <c r="U107" i="16"/>
  <c r="V107" i="16" s="1"/>
  <c r="T105" i="16"/>
  <c r="U105" i="16" s="1"/>
  <c r="V105" i="16" s="1"/>
  <c r="T97" i="16"/>
  <c r="U97" i="16" s="1"/>
  <c r="V97" i="16" s="1"/>
  <c r="T102" i="16"/>
  <c r="U102" i="16" s="1"/>
  <c r="V102" i="16" s="1"/>
  <c r="T101" i="16"/>
  <c r="U101" i="16" s="1"/>
  <c r="V101" i="16" s="1"/>
  <c r="T94" i="16"/>
  <c r="U94" i="16" s="1"/>
  <c r="V94" i="16" s="1"/>
  <c r="U93" i="16"/>
  <c r="V93" i="16" s="1"/>
  <c r="L96" i="16"/>
  <c r="L94" i="16"/>
  <c r="L95" i="16"/>
  <c r="L93" i="16"/>
  <c r="L98" i="16"/>
  <c r="L99" i="16"/>
  <c r="L100" i="16"/>
  <c r="L106" i="16"/>
  <c r="L108" i="16"/>
  <c r="L107" i="16"/>
  <c r="L74" i="16"/>
  <c r="T74" i="16"/>
  <c r="U74" i="16" s="1"/>
  <c r="V74" i="16" s="1"/>
  <c r="V26" i="26"/>
  <c r="M28" i="26"/>
  <c r="M30" i="26" s="1"/>
  <c r="K30" i="26" l="1"/>
  <c r="AT27" i="26"/>
  <c r="AR27" i="26"/>
  <c r="X26" i="26"/>
  <c r="V28" i="26"/>
  <c r="AA26" i="26"/>
  <c r="W26" i="26"/>
  <c r="AA27" i="26"/>
  <c r="AB27" i="26" s="1"/>
  <c r="W27" i="26"/>
  <c r="AC26" i="26"/>
  <c r="AE27" i="26" l="1"/>
  <c r="AC27" i="26"/>
  <c r="AC28" i="26" s="1"/>
  <c r="X28" i="26"/>
  <c r="AT26" i="26"/>
  <c r="AR26" i="26"/>
  <c r="W28" i="26"/>
  <c r="AB26" i="26"/>
  <c r="AA28" i="26"/>
  <c r="AC4" i="16" a="1"/>
  <c r="AC4" i="16" s="1"/>
  <c r="AC5" i="16" a="1"/>
  <c r="AC5" i="16" s="1"/>
  <c r="AC6" i="16" a="1"/>
  <c r="AC6" i="16" s="1"/>
  <c r="AC7" i="16" a="1"/>
  <c r="AC7" i="16" s="1"/>
  <c r="AC8" i="16" a="1"/>
  <c r="AC8" i="16" s="1"/>
  <c r="AC9" i="16" a="1"/>
  <c r="AC9" i="16" s="1"/>
  <c r="AC10" i="16" a="1"/>
  <c r="AC10" i="16" s="1"/>
  <c r="AC11" i="16" a="1"/>
  <c r="AC11" i="16" s="1"/>
  <c r="AC12" i="16" a="1"/>
  <c r="AC12" i="16" s="1"/>
  <c r="AC13" i="16" a="1"/>
  <c r="AC13" i="16" s="1"/>
  <c r="AC14" i="16" a="1"/>
  <c r="AC14" i="16" s="1"/>
  <c r="AC15" i="16" a="1"/>
  <c r="AC15" i="16" s="1"/>
  <c r="AC16" i="16" a="1"/>
  <c r="AC16" i="16" s="1"/>
  <c r="AC17" i="16" a="1"/>
  <c r="AC17" i="16" s="1"/>
  <c r="AC18" i="16" a="1"/>
  <c r="AC18" i="16" s="1"/>
  <c r="AC19" i="16" a="1"/>
  <c r="AC19" i="16" s="1"/>
  <c r="AC20" i="16" a="1"/>
  <c r="AC20" i="16" s="1"/>
  <c r="AC21" i="16" a="1"/>
  <c r="AC21" i="16" s="1"/>
  <c r="AC22" i="16" a="1"/>
  <c r="AC22" i="16" s="1"/>
  <c r="AC23" i="16" a="1"/>
  <c r="AC23" i="16" s="1"/>
  <c r="AC24" i="16" a="1"/>
  <c r="AC24" i="16" s="1"/>
  <c r="AC25" i="16" a="1"/>
  <c r="AC25" i="16" s="1"/>
  <c r="AC26" i="16" a="1"/>
  <c r="AC26" i="16" s="1"/>
  <c r="AC27" i="16" a="1"/>
  <c r="AC27" i="16" s="1"/>
  <c r="AC28" i="16" a="1"/>
  <c r="AC28" i="16" s="1"/>
  <c r="AC29" i="16" a="1"/>
  <c r="AC29" i="16" s="1"/>
  <c r="AC30" i="16" a="1"/>
  <c r="AC30" i="16" s="1"/>
  <c r="AC31" i="16" a="1"/>
  <c r="AC31" i="16" s="1"/>
  <c r="AC32" i="16" a="1"/>
  <c r="AC32" i="16" s="1"/>
  <c r="AC33" i="16" a="1"/>
  <c r="AC33" i="16" s="1"/>
  <c r="AC34" i="16" a="1"/>
  <c r="AC34" i="16" s="1"/>
  <c r="AC35" i="16" a="1"/>
  <c r="AC35" i="16" s="1"/>
  <c r="AC36" i="16" a="1"/>
  <c r="AC36" i="16" s="1"/>
  <c r="AC37" i="16" a="1"/>
  <c r="AC37" i="16" s="1"/>
  <c r="AC38" i="16" a="1"/>
  <c r="AC38" i="16" s="1"/>
  <c r="AC39" i="16" a="1"/>
  <c r="AC39" i="16" s="1"/>
  <c r="AC40" i="16" a="1"/>
  <c r="AC40" i="16" s="1"/>
  <c r="AC41" i="16" a="1"/>
  <c r="AC41" i="16" s="1"/>
  <c r="AC42" i="16" a="1"/>
  <c r="AC42" i="16" s="1"/>
  <c r="AC43" i="16" a="1"/>
  <c r="AC43" i="16" s="1"/>
  <c r="AC44" i="16" a="1"/>
  <c r="AC44" i="16" s="1"/>
  <c r="AC45" i="16" a="1"/>
  <c r="AC45" i="16" s="1"/>
  <c r="AC46" i="16" a="1"/>
  <c r="AC46" i="16" s="1"/>
  <c r="AC47" i="16" a="1"/>
  <c r="AC47" i="16" s="1"/>
  <c r="AC48" i="16" a="1"/>
  <c r="AC48" i="16" s="1"/>
  <c r="AC49" i="16" a="1"/>
  <c r="AC49" i="16" s="1"/>
  <c r="AC50" i="16" a="1"/>
  <c r="AC50" i="16" s="1"/>
  <c r="AC51" i="16" a="1"/>
  <c r="AC51" i="16" s="1"/>
  <c r="AC52" i="16" a="1"/>
  <c r="AC52" i="16" s="1"/>
  <c r="AC53" i="16" a="1"/>
  <c r="AC53" i="16" s="1"/>
  <c r="AC54" i="16" a="1"/>
  <c r="AC54" i="16" s="1"/>
  <c r="AC55" i="16" a="1"/>
  <c r="AC55" i="16" s="1"/>
  <c r="AC57" i="16" a="1"/>
  <c r="AC57" i="16" s="1"/>
  <c r="AC75" i="16" a="1"/>
  <c r="AC75" i="16" s="1"/>
  <c r="AC76" i="16" a="1"/>
  <c r="AC76" i="16" s="1"/>
  <c r="AC77" i="16" a="1"/>
  <c r="AC77" i="16" s="1"/>
  <c r="AC78" i="16" a="1"/>
  <c r="AC78" i="16" s="1"/>
  <c r="AC79" i="16" a="1"/>
  <c r="AC79" i="16" s="1"/>
  <c r="AC80" i="16" a="1"/>
  <c r="AC80" i="16" s="1"/>
  <c r="AC81" i="16" a="1"/>
  <c r="AC81" i="16" s="1"/>
  <c r="AC82" i="16" a="1"/>
  <c r="AC82" i="16" s="1"/>
  <c r="AC83" i="16" a="1"/>
  <c r="AC83" i="16" s="1"/>
  <c r="AC109" i="16" a="1"/>
  <c r="AC109" i="16" s="1"/>
  <c r="AC110" i="16" a="1"/>
  <c r="AC110" i="16" s="1"/>
  <c r="AC111" i="16" a="1"/>
  <c r="AC111" i="16" s="1"/>
  <c r="AC112" i="16" a="1"/>
  <c r="AC112" i="16" s="1"/>
  <c r="AC113" i="16" a="1"/>
  <c r="AC113" i="16" s="1"/>
  <c r="AC114" i="16" a="1"/>
  <c r="AC114" i="16" s="1"/>
  <c r="AC115" i="16" a="1"/>
  <c r="AC115" i="16" s="1"/>
  <c r="AC3" i="16" a="1"/>
  <c r="AC3" i="16" s="1"/>
  <c r="T38" i="16"/>
  <c r="L39" i="16"/>
  <c r="L41" i="16"/>
  <c r="L43" i="16"/>
  <c r="L45" i="16"/>
  <c r="L47" i="16"/>
  <c r="L49" i="16"/>
  <c r="L51" i="16"/>
  <c r="L53" i="16"/>
  <c r="T55" i="16"/>
  <c r="L57" i="16"/>
  <c r="B41" i="16"/>
  <c r="B40" i="16"/>
  <c r="B39" i="16"/>
  <c r="R39" i="16"/>
  <c r="R40" i="16"/>
  <c r="R41" i="16"/>
  <c r="R42" i="16"/>
  <c r="R43" i="16"/>
  <c r="R44" i="16"/>
  <c r="R45" i="16"/>
  <c r="R46" i="16"/>
  <c r="R47" i="16"/>
  <c r="R48" i="16"/>
  <c r="R49" i="16"/>
  <c r="R50" i="16"/>
  <c r="R51" i="16"/>
  <c r="R52" i="16"/>
  <c r="R53" i="16"/>
  <c r="R54" i="16"/>
  <c r="R55" i="16"/>
  <c r="R57" i="16"/>
  <c r="R83" i="16"/>
  <c r="L4" i="16"/>
  <c r="L5" i="16"/>
  <c r="L6" i="16"/>
  <c r="L7" i="16"/>
  <c r="L8" i="16"/>
  <c r="L9" i="16"/>
  <c r="L10" i="16"/>
  <c r="L11" i="16"/>
  <c r="L12" i="16"/>
  <c r="L13" i="16"/>
  <c r="L14" i="16"/>
  <c r="L15" i="16"/>
  <c r="L16" i="16"/>
  <c r="L17" i="16"/>
  <c r="L18" i="16"/>
  <c r="L19" i="16"/>
  <c r="L20" i="16"/>
  <c r="L21" i="16"/>
  <c r="L22" i="16"/>
  <c r="L23" i="16"/>
  <c r="T24" i="16"/>
  <c r="T25" i="16"/>
  <c r="T26" i="16"/>
  <c r="T27" i="16"/>
  <c r="T28" i="16"/>
  <c r="T29" i="16"/>
  <c r="T30" i="16"/>
  <c r="T31" i="16"/>
  <c r="T32" i="16"/>
  <c r="T33" i="16"/>
  <c r="T34" i="16"/>
  <c r="T35" i="16"/>
  <c r="T36" i="16"/>
  <c r="T37" i="16"/>
  <c r="L75" i="16"/>
  <c r="T76" i="16"/>
  <c r="L77" i="16"/>
  <c r="L78" i="16"/>
  <c r="L79" i="16"/>
  <c r="T80" i="16"/>
  <c r="T81" i="16"/>
  <c r="T82" i="16"/>
  <c r="T83" i="16"/>
  <c r="T109" i="16"/>
  <c r="T110" i="16"/>
  <c r="L111" i="16"/>
  <c r="T112" i="16"/>
  <c r="L113" i="16"/>
  <c r="T114" i="16"/>
  <c r="T115" i="16"/>
  <c r="T3" i="16"/>
  <c r="R114" i="16"/>
  <c r="R115" i="16"/>
  <c r="R109" i="16"/>
  <c r="R110" i="16"/>
  <c r="R78" i="16"/>
  <c r="R79" i="16"/>
  <c r="R80" i="16"/>
  <c r="R81" i="16"/>
  <c r="R82" i="16"/>
  <c r="R111" i="16"/>
  <c r="R112" i="16"/>
  <c r="R113" i="16"/>
  <c r="B38" i="16"/>
  <c r="R75" i="16"/>
  <c r="R76" i="16"/>
  <c r="R77"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 i="16"/>
  <c r="R30" i="16"/>
  <c r="R31" i="16"/>
  <c r="R32" i="16"/>
  <c r="R33" i="16"/>
  <c r="R34" i="16"/>
  <c r="R35" i="16"/>
  <c r="R36" i="16"/>
  <c r="R37" i="16"/>
  <c r="R38" i="16"/>
  <c r="R22" i="16"/>
  <c r="R23" i="16"/>
  <c r="R24" i="16"/>
  <c r="R25" i="16"/>
  <c r="R26" i="16"/>
  <c r="R27" i="16"/>
  <c r="R28" i="16"/>
  <c r="R29" i="16"/>
  <c r="R4" i="16"/>
  <c r="R5" i="16"/>
  <c r="R6" i="16"/>
  <c r="R7" i="16"/>
  <c r="R8" i="16"/>
  <c r="R9" i="16"/>
  <c r="R10" i="16"/>
  <c r="R11" i="16"/>
  <c r="R12" i="16"/>
  <c r="R13" i="16"/>
  <c r="R14" i="16"/>
  <c r="R15" i="16"/>
  <c r="R16" i="16"/>
  <c r="R17" i="16"/>
  <c r="R18" i="16"/>
  <c r="R19" i="16"/>
  <c r="R20" i="16"/>
  <c r="R21" i="16"/>
  <c r="R3" i="16"/>
  <c r="G80" i="7"/>
  <c r="G81" i="7"/>
  <c r="G78" i="7"/>
  <c r="A244" i="16" l="1"/>
  <c r="A240" i="16"/>
  <c r="A241" i="16"/>
  <c r="A206" i="16"/>
  <c r="A252" i="16"/>
  <c r="A238" i="16"/>
  <c r="A247" i="16"/>
  <c r="A236" i="16"/>
  <c r="A192" i="16"/>
  <c r="A258" i="16"/>
  <c r="A253" i="16"/>
  <c r="A248" i="16"/>
  <c r="A250" i="16"/>
  <c r="A256" i="16"/>
  <c r="A246" i="16"/>
  <c r="A186" i="16"/>
  <c r="A237" i="16"/>
  <c r="A154" i="16"/>
  <c r="A242" i="16"/>
  <c r="A245" i="16"/>
  <c r="A235" i="16"/>
  <c r="A239" i="16"/>
  <c r="A259" i="16"/>
  <c r="A255" i="16"/>
  <c r="A249" i="16"/>
  <c r="A184" i="16"/>
  <c r="A243" i="16"/>
  <c r="A175" i="16"/>
  <c r="A254" i="16"/>
  <c r="A257" i="16"/>
  <c r="A251" i="16"/>
  <c r="A210" i="16"/>
  <c r="A234" i="16"/>
  <c r="A222" i="16"/>
  <c r="A219" i="16"/>
  <c r="A229" i="16"/>
  <c r="A232" i="16"/>
  <c r="A224" i="16"/>
  <c r="A212" i="16"/>
  <c r="A223" i="16"/>
  <c r="A215" i="16"/>
  <c r="A207" i="16"/>
  <c r="A226" i="16"/>
  <c r="A225" i="16"/>
  <c r="A209" i="16"/>
  <c r="A227" i="16"/>
  <c r="A211" i="16"/>
  <c r="A214" i="16"/>
  <c r="A233" i="16"/>
  <c r="A231" i="16"/>
  <c r="A221" i="16"/>
  <c r="A217" i="16"/>
  <c r="A213" i="16"/>
  <c r="A220" i="16"/>
  <c r="A208" i="16"/>
  <c r="A228" i="16"/>
  <c r="A230" i="16"/>
  <c r="A218" i="16"/>
  <c r="A216" i="16"/>
  <c r="A190" i="16"/>
  <c r="A193" i="16"/>
  <c r="A205" i="16"/>
  <c r="A171" i="16"/>
  <c r="A162" i="16"/>
  <c r="A196" i="16"/>
  <c r="A182" i="16"/>
  <c r="A163" i="16"/>
  <c r="A179" i="16"/>
  <c r="A197" i="16"/>
  <c r="A164" i="16"/>
  <c r="A194" i="16"/>
  <c r="A185" i="16"/>
  <c r="A174" i="16"/>
  <c r="A170" i="16"/>
  <c r="A187" i="16"/>
  <c r="A181" i="16"/>
  <c r="A191" i="16"/>
  <c r="A166" i="16"/>
  <c r="A178" i="16"/>
  <c r="A168" i="16"/>
  <c r="A169" i="16"/>
  <c r="A155" i="16"/>
  <c r="A172" i="16"/>
  <c r="A161" i="16"/>
  <c r="A189" i="16"/>
  <c r="A160" i="16"/>
  <c r="A195" i="16"/>
  <c r="A176" i="16"/>
  <c r="A157" i="16"/>
  <c r="A202" i="16"/>
  <c r="A156" i="16"/>
  <c r="A201" i="16"/>
  <c r="A173" i="16"/>
  <c r="A167" i="16"/>
  <c r="A188" i="16"/>
  <c r="A158" i="16"/>
  <c r="A159" i="16"/>
  <c r="A165" i="16"/>
  <c r="A199" i="16"/>
  <c r="A183" i="16"/>
  <c r="A200" i="16"/>
  <c r="A180" i="16"/>
  <c r="A204" i="16"/>
  <c r="A203" i="16"/>
  <c r="A177" i="16"/>
  <c r="A198" i="16"/>
  <c r="AT28" i="26"/>
  <c r="AR28" i="26"/>
  <c r="AR30" i="26" s="1"/>
  <c r="A56" i="16"/>
  <c r="A136" i="16"/>
  <c r="A137" i="16"/>
  <c r="A135" i="16"/>
  <c r="A127" i="16"/>
  <c r="A153" i="16"/>
  <c r="A130" i="16"/>
  <c r="A146" i="16"/>
  <c r="A125" i="16"/>
  <c r="A123" i="16"/>
  <c r="A147" i="16"/>
  <c r="A120" i="16"/>
  <c r="A129" i="16"/>
  <c r="A119" i="16"/>
  <c r="A118" i="16"/>
  <c r="A143" i="16"/>
  <c r="A126" i="16"/>
  <c r="A140" i="16"/>
  <c r="A133" i="16"/>
  <c r="A148" i="16"/>
  <c r="A144" i="16"/>
  <c r="A150" i="16"/>
  <c r="A152" i="16"/>
  <c r="A128" i="16"/>
  <c r="A132" i="16"/>
  <c r="A122" i="16"/>
  <c r="A131" i="16"/>
  <c r="A124" i="16"/>
  <c r="A121" i="16"/>
  <c r="A141" i="16"/>
  <c r="A134" i="16"/>
  <c r="A138" i="16"/>
  <c r="A151" i="16"/>
  <c r="A139" i="16"/>
  <c r="A145" i="16"/>
  <c r="A149" i="16"/>
  <c r="A142" i="16"/>
  <c r="AB28" i="26"/>
  <c r="AE26" i="26"/>
  <c r="AE28" i="26" s="1"/>
  <c r="U109" i="16"/>
  <c r="V109" i="16" s="1"/>
  <c r="A93" i="16"/>
  <c r="A94" i="16"/>
  <c r="A95" i="16"/>
  <c r="A96" i="16"/>
  <c r="A99" i="16"/>
  <c r="A97" i="16"/>
  <c r="A98" i="16"/>
  <c r="A100" i="16"/>
  <c r="A103" i="16"/>
  <c r="A105" i="16"/>
  <c r="A102" i="16"/>
  <c r="A104" i="16"/>
  <c r="A106" i="16"/>
  <c r="A101" i="16"/>
  <c r="A107" i="16"/>
  <c r="A108" i="16"/>
  <c r="L109" i="16"/>
  <c r="L115" i="16"/>
  <c r="L114" i="16"/>
  <c r="L112" i="16"/>
  <c r="L110" i="16"/>
  <c r="L52" i="16"/>
  <c r="T52" i="16"/>
  <c r="U52" i="16" s="1"/>
  <c r="V52" i="16" s="1"/>
  <c r="T44" i="16"/>
  <c r="U44" i="16" s="1"/>
  <c r="V44" i="16" s="1"/>
  <c r="L44" i="16"/>
  <c r="T42" i="16"/>
  <c r="U42" i="16" s="1"/>
  <c r="V42" i="16" s="1"/>
  <c r="L42" i="16"/>
  <c r="L50" i="16"/>
  <c r="T50" i="16"/>
  <c r="U50" i="16" s="1"/>
  <c r="V50" i="16" s="1"/>
  <c r="L48" i="16"/>
  <c r="T48" i="16"/>
  <c r="U48" i="16" s="1"/>
  <c r="V48" i="16" s="1"/>
  <c r="T40" i="16"/>
  <c r="U40" i="16" s="1"/>
  <c r="V40" i="16" s="1"/>
  <c r="L40" i="16"/>
  <c r="L54" i="16"/>
  <c r="T54" i="16"/>
  <c r="U54" i="16" s="1"/>
  <c r="V54" i="16" s="1"/>
  <c r="T46" i="16"/>
  <c r="U46" i="16" s="1"/>
  <c r="V46" i="16" s="1"/>
  <c r="L46" i="16"/>
  <c r="L55" i="16"/>
  <c r="U55" i="16"/>
  <c r="V55" i="16" s="1"/>
  <c r="T51" i="16"/>
  <c r="U51" i="16" s="1"/>
  <c r="V51" i="16" s="1"/>
  <c r="T43" i="16"/>
  <c r="U43" i="16" s="1"/>
  <c r="V43" i="16" s="1"/>
  <c r="T41" i="16"/>
  <c r="U41" i="16" s="1"/>
  <c r="V41" i="16" s="1"/>
  <c r="T39" i="16"/>
  <c r="U39" i="16" s="1"/>
  <c r="V39" i="16" s="1"/>
  <c r="T53" i="16"/>
  <c r="U53" i="16" s="1"/>
  <c r="V53" i="16" s="1"/>
  <c r="T45" i="16"/>
  <c r="U45" i="16" s="1"/>
  <c r="V45" i="16" s="1"/>
  <c r="T49" i="16"/>
  <c r="U49" i="16" s="1"/>
  <c r="V49" i="16" s="1"/>
  <c r="T47" i="16"/>
  <c r="U47" i="16" s="1"/>
  <c r="V47" i="16" s="1"/>
  <c r="T57" i="16"/>
  <c r="U57" i="16" s="1"/>
  <c r="V57" i="16" s="1"/>
  <c r="L83" i="16"/>
  <c r="L82" i="16"/>
  <c r="L81" i="16"/>
  <c r="L80" i="16"/>
  <c r="U114" i="16"/>
  <c r="V114" i="16" s="1"/>
  <c r="U115" i="16"/>
  <c r="V115" i="16" s="1"/>
  <c r="U83" i="16"/>
  <c r="V83" i="16" s="1"/>
  <c r="U110" i="16"/>
  <c r="V110" i="16" s="1"/>
  <c r="T79" i="16"/>
  <c r="U79" i="16" s="1"/>
  <c r="V79" i="16" s="1"/>
  <c r="U80" i="16"/>
  <c r="V80" i="16" s="1"/>
  <c r="U82" i="16"/>
  <c r="V82" i="16" s="1"/>
  <c r="U81" i="16"/>
  <c r="V81" i="16" s="1"/>
  <c r="T111" i="16"/>
  <c r="U111" i="16" s="1"/>
  <c r="V111" i="16" s="1"/>
  <c r="T78" i="16"/>
  <c r="U78" i="16" s="1"/>
  <c r="V78" i="16" s="1"/>
  <c r="U112" i="16"/>
  <c r="V112" i="16" s="1"/>
  <c r="T113" i="16"/>
  <c r="U113" i="16" s="1"/>
  <c r="V113" i="16" s="1"/>
  <c r="L76" i="16"/>
  <c r="T75" i="16"/>
  <c r="U75" i="16" s="1"/>
  <c r="V75" i="16" s="1"/>
  <c r="U76" i="16"/>
  <c r="V76" i="16" s="1"/>
  <c r="T77" i="16"/>
  <c r="U77" i="16" s="1"/>
  <c r="V77" i="16" s="1"/>
  <c r="U36" i="16"/>
  <c r="V36" i="16" s="1"/>
  <c r="U37" i="16"/>
  <c r="V37" i="16" s="1"/>
  <c r="U31" i="16"/>
  <c r="V31" i="16" s="1"/>
  <c r="U35" i="16"/>
  <c r="V35" i="16" s="1"/>
  <c r="U38" i="16"/>
  <c r="V38" i="16" s="1"/>
  <c r="U34" i="16"/>
  <c r="V34" i="16" s="1"/>
  <c r="U33" i="16"/>
  <c r="V33" i="16" s="1"/>
  <c r="U32" i="16"/>
  <c r="V32" i="16" s="1"/>
  <c r="U24" i="16"/>
  <c r="V24" i="16" s="1"/>
  <c r="L38" i="16"/>
  <c r="L35" i="16"/>
  <c r="L37" i="16"/>
  <c r="L36" i="16"/>
  <c r="L34" i="16"/>
  <c r="L33" i="16"/>
  <c r="L32" i="16"/>
  <c r="L31" i="16"/>
  <c r="L25" i="16"/>
  <c r="T13" i="16"/>
  <c r="U13" i="16" s="1"/>
  <c r="V13" i="16" s="1"/>
  <c r="L26" i="16"/>
  <c r="L30" i="16"/>
  <c r="L29" i="16"/>
  <c r="U28" i="16"/>
  <c r="V28" i="16" s="1"/>
  <c r="U27" i="16"/>
  <c r="V27" i="16" s="1"/>
  <c r="U26" i="16"/>
  <c r="V26" i="16" s="1"/>
  <c r="U25" i="16"/>
  <c r="V25" i="16" s="1"/>
  <c r="L27" i="16"/>
  <c r="T19" i="16"/>
  <c r="U19" i="16" s="1"/>
  <c r="V19" i="16" s="1"/>
  <c r="U30" i="16"/>
  <c r="V30" i="16" s="1"/>
  <c r="T15" i="16"/>
  <c r="U15" i="16" s="1"/>
  <c r="V15" i="16" s="1"/>
  <c r="U29" i="16"/>
  <c r="V29" i="16" s="1"/>
  <c r="T14" i="16"/>
  <c r="U14" i="16" s="1"/>
  <c r="V14" i="16" s="1"/>
  <c r="L28" i="16"/>
  <c r="L24" i="16"/>
  <c r="T17" i="16"/>
  <c r="U17" i="16" s="1"/>
  <c r="V17" i="16" s="1"/>
  <c r="T7" i="16"/>
  <c r="U7" i="16" s="1"/>
  <c r="V7" i="16" s="1"/>
  <c r="T5" i="16"/>
  <c r="U5" i="16" s="1"/>
  <c r="V5" i="16" s="1"/>
  <c r="T23" i="16"/>
  <c r="U23" i="16" s="1"/>
  <c r="V23" i="16" s="1"/>
  <c r="T11" i="16"/>
  <c r="U11" i="16" s="1"/>
  <c r="V11" i="16" s="1"/>
  <c r="T22" i="16"/>
  <c r="U22" i="16" s="1"/>
  <c r="V22" i="16" s="1"/>
  <c r="T18" i="16"/>
  <c r="U18" i="16" s="1"/>
  <c r="V18" i="16" s="1"/>
  <c r="T10" i="16"/>
  <c r="U10" i="16" s="1"/>
  <c r="V10" i="16" s="1"/>
  <c r="T6" i="16"/>
  <c r="U6" i="16" s="1"/>
  <c r="V6" i="16" s="1"/>
  <c r="T21" i="16"/>
  <c r="U21" i="16" s="1"/>
  <c r="V21" i="16" s="1"/>
  <c r="T9" i="16"/>
  <c r="U9" i="16" s="1"/>
  <c r="V9" i="16" s="1"/>
  <c r="T20" i="16"/>
  <c r="U20" i="16" s="1"/>
  <c r="V20" i="16" s="1"/>
  <c r="T16" i="16"/>
  <c r="U16" i="16" s="1"/>
  <c r="V16" i="16" s="1"/>
  <c r="T12" i="16"/>
  <c r="U12" i="16" s="1"/>
  <c r="V12" i="16" s="1"/>
  <c r="T8" i="16"/>
  <c r="U8" i="16" s="1"/>
  <c r="V8" i="16" s="1"/>
  <c r="T4" i="16"/>
  <c r="U4" i="16" s="1"/>
  <c r="V4" i="16" s="1"/>
  <c r="L3" i="16"/>
  <c r="AA3" i="16" s="1"/>
  <c r="U3" i="16"/>
  <c r="V3" i="16" l="1"/>
  <c r="AB3" i="16"/>
  <c r="I57" i="7" l="1"/>
  <c r="H57" i="7"/>
  <c r="H58" i="7"/>
  <c r="H56" i="7"/>
  <c r="F15" i="7" l="1"/>
  <c r="E15" i="7"/>
  <c r="H18" i="7" l="1"/>
  <c r="B25" i="7" l="1"/>
  <c r="B23" i="7" l="1"/>
  <c r="B29" i="7" l="1"/>
  <c r="B28" i="7"/>
  <c r="D23" i="7"/>
  <c r="C23" i="7"/>
  <c r="D7" i="7"/>
  <c r="F5" i="7"/>
  <c r="E5" i="7"/>
  <c r="C5" i="7"/>
  <c r="B5" i="7"/>
  <c r="D4" i="7"/>
  <c r="D3" i="7"/>
  <c r="D2" i="7"/>
  <c r="B31" i="7" l="1"/>
  <c r="F23" i="7"/>
  <c r="D31" i="7"/>
  <c r="D25" i="7"/>
  <c r="D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739F2-3644-4927-B21E-D60F759AA92E}" keepAlive="1" name="Connection" type="5" refreshedVersion="0" saveData="1">
    <dbPr connection="Provider=Microsoft.Mashup.OleDb.1;Data Source=$Workbook$;Location=MergedCSVData" command="SELECT * FROM [MergedCSV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<sst xmlns="http://schemas.openxmlformats.org/spreadsheetml/2006/main" count="3321" uniqueCount="757">
  <si>
    <t>Debtor Code</t>
  </si>
  <si>
    <t>Instrument Type</t>
  </si>
  <si>
    <t>Instrument Number</t>
  </si>
  <si>
    <t>Instrument Date</t>
  </si>
  <si>
    <t>Instrument Due Date</t>
  </si>
  <si>
    <t>Transport Document Date</t>
  </si>
  <si>
    <t>INR</t>
  </si>
  <si>
    <t>I</t>
  </si>
  <si>
    <t>Invoice Disc Tranch</t>
  </si>
  <si>
    <t>DBS bank Accepted amount</t>
  </si>
  <si>
    <t>No of days discount</t>
  </si>
  <si>
    <t>Disc Interest</t>
  </si>
  <si>
    <t>Disbursment</t>
  </si>
  <si>
    <t>Int Rate</t>
  </si>
  <si>
    <t>Repayment amount</t>
  </si>
  <si>
    <t>Maturity Date</t>
  </si>
  <si>
    <t>Disbursement Date</t>
  </si>
  <si>
    <t>Product</t>
  </si>
  <si>
    <t>Repayment Date</t>
  </si>
  <si>
    <t>Repay Lot No</t>
  </si>
  <si>
    <t>FABIND9INRDZ0</t>
  </si>
  <si>
    <t xml:space="preserve">Interest reversal </t>
  </si>
  <si>
    <t>Prepayment days</t>
  </si>
  <si>
    <t>Account Code</t>
  </si>
  <si>
    <t>RELIANCEIN</t>
  </si>
  <si>
    <t>Total</t>
  </si>
  <si>
    <t>GBT60M11A-STR439M/STUBLR3L W FENCE</t>
  </si>
  <si>
    <t>INDUSTOWER</t>
  </si>
  <si>
    <t>Tower- GBT- Elite-402 - 3L TBLR 40M 140</t>
  </si>
  <si>
    <t>Tower- GBT- Elite 403 STR - 3L TBLR 40M</t>
  </si>
  <si>
    <t>CIP - GBT - Elite 403 STR - 3L 170KMPH</t>
  </si>
  <si>
    <t>INDUS SOLAR STRUCTURE(2PX5-30/20 DEGREE)</t>
  </si>
  <si>
    <t>FABIND9INRDZE</t>
  </si>
  <si>
    <t>GAME CHANGE</t>
  </si>
  <si>
    <t>OUTSTANDING INVOICE</t>
  </si>
  <si>
    <t>INDUS TOWERS</t>
  </si>
  <si>
    <t>TOWER GBT 3Legged VM 30M 170KMPH</t>
  </si>
  <si>
    <t>Company:</t>
  </si>
  <si>
    <t>IN - 28999MH2020PTC336753 - FAB INDUSTRIES PRIVATE LIMITED</t>
  </si>
  <si>
    <t>Debtor Name</t>
  </si>
  <si>
    <t>Invoice Currency</t>
  </si>
  <si>
    <t>Credit Limit</t>
  </si>
  <si>
    <t>Outstanding Invoice</t>
  </si>
  <si>
    <t>GAMECHSOLA</t>
  </si>
  <si>
    <t>FABIND9USDEZE</t>
  </si>
  <si>
    <t>USD</t>
  </si>
  <si>
    <t>RELIANCE INDUSTRIES</t>
  </si>
  <si>
    <t>DEBTOR NAME</t>
  </si>
  <si>
    <t>CREDIT LIMIT</t>
  </si>
  <si>
    <t>AVAILABLE LIMIT</t>
  </si>
  <si>
    <t>UPLOADED INVOICE</t>
  </si>
  <si>
    <t>AVAILABLE INVOICES FOR DISCOUNTING</t>
  </si>
  <si>
    <t>BIL - Tower GBT 40M 200 KMPH</t>
  </si>
  <si>
    <t>12A - Tower GBT-3 Leg TBLR 40M 170 KMPH</t>
  </si>
  <si>
    <t>Project</t>
  </si>
  <si>
    <t>DBS bank Accepted amount (USD)</t>
  </si>
  <si>
    <t>DBS bank Accepted amount (INR)</t>
  </si>
  <si>
    <t>Amt held by DBS (USD)</t>
  </si>
  <si>
    <t>Disc Interest (USD)</t>
  </si>
  <si>
    <t>Disbursment (USD)</t>
  </si>
  <si>
    <t>Disbursement Exch Rate</t>
  </si>
  <si>
    <t>Disbursment (INR)</t>
  </si>
  <si>
    <t>Receipt Date</t>
  </si>
  <si>
    <t>Receipt Amount USD</t>
  </si>
  <si>
    <t>Conversion Rate for receipt (USD/INR)</t>
  </si>
  <si>
    <t>Receipt in INR</t>
  </si>
  <si>
    <t>Repayment amount IN INR</t>
  </si>
  <si>
    <t>Interest reversal in INR</t>
  </si>
  <si>
    <t>SOLAR I BEAM</t>
  </si>
  <si>
    <t>Cast In part GBT-3L TBLR VT30M 200KMPH</t>
  </si>
  <si>
    <t>TowerGBT-3 Leg Tubular VT30M 200 KMPH</t>
  </si>
  <si>
    <t>Disc Interest (INR)</t>
  </si>
  <si>
    <t>delay in no. of days</t>
  </si>
  <si>
    <t xml:space="preserve">INDUS TOWER </t>
  </si>
  <si>
    <t xml:space="preserve">GAME CHANGE </t>
  </si>
  <si>
    <t>CC</t>
  </si>
  <si>
    <t>NBT 40Mtr Tower</t>
  </si>
  <si>
    <t>Repayment Lot</t>
  </si>
  <si>
    <t>10057</t>
  </si>
  <si>
    <t>10061</t>
  </si>
  <si>
    <t>10062</t>
  </si>
  <si>
    <t>10063</t>
  </si>
  <si>
    <t>10064</t>
  </si>
  <si>
    <t>10065</t>
  </si>
  <si>
    <t>10066</t>
  </si>
  <si>
    <t>10067</t>
  </si>
  <si>
    <t>10069</t>
  </si>
  <si>
    <t>10070</t>
  </si>
  <si>
    <t>10071</t>
  </si>
  <si>
    <t>10072</t>
  </si>
  <si>
    <t>Invoice due date as per BL</t>
  </si>
  <si>
    <t>2349</t>
  </si>
  <si>
    <t>2540</t>
  </si>
  <si>
    <t>FABIND9INRDZI</t>
  </si>
  <si>
    <t>ADANIGREEN</t>
  </si>
  <si>
    <t>SIEMENS</t>
  </si>
  <si>
    <t>SIEMENSLTD</t>
  </si>
  <si>
    <t>LOT</t>
  </si>
  <si>
    <t>Inv No</t>
  </si>
  <si>
    <t>Inv Date</t>
  </si>
  <si>
    <t xml:space="preserve"> Original Inv Amt in USD</t>
  </si>
  <si>
    <t>Disc</t>
  </si>
  <si>
    <t>Inv Amt in USD for Discounting</t>
  </si>
  <si>
    <t>USD Rate as Per INV</t>
  </si>
  <si>
    <t xml:space="preserve"> Original Inv Amt in INR</t>
  </si>
  <si>
    <t>Inv Amt in INR for Discounting</t>
  </si>
  <si>
    <t xml:space="preserve">INV Due Date </t>
  </si>
  <si>
    <t>SB No</t>
  </si>
  <si>
    <t>SB Date</t>
  </si>
  <si>
    <t>BL No.</t>
  </si>
  <si>
    <t>BL Date</t>
  </si>
  <si>
    <t>Interest Subvention Rate</t>
  </si>
  <si>
    <t>Interest Subvention Amount</t>
  </si>
  <si>
    <t>Interest Subvention receipt date</t>
  </si>
  <si>
    <t>10% Amount INR tranfer to CC</t>
  </si>
  <si>
    <t>Delay in receipt days</t>
  </si>
  <si>
    <t>Interest USD</t>
  </si>
  <si>
    <t>SLIP JOINT MONOPOLE-30M (INDUS)</t>
  </si>
  <si>
    <t>LC</t>
  </si>
  <si>
    <t>TOTAL LIMIT</t>
  </si>
  <si>
    <t>WCDL</t>
  </si>
  <si>
    <t xml:space="preserve">AVAILABLE LIMIT </t>
  </si>
  <si>
    <t>CC BALANCE</t>
  </si>
  <si>
    <t>PCFC - GAME CHANGE &amp; UNITY</t>
  </si>
  <si>
    <r>
      <t>121,428,324 </t>
    </r>
    <r>
      <rPr>
        <sz val="12"/>
        <color rgb="FF9BA4AB"/>
        <rFont val="Arial"/>
        <family val="2"/>
      </rPr>
      <t>.48</t>
    </r>
  </si>
  <si>
    <t>FABINDPLTDEZE</t>
  </si>
  <si>
    <t>ADANI GREEN</t>
  </si>
  <si>
    <t>CIP RITA 15MTR</t>
  </si>
  <si>
    <t>GBM30MTRIBANDLOADING50M/S-FAB</t>
  </si>
  <si>
    <t>Available Limit</t>
  </si>
  <si>
    <t>FI2526007253</t>
  </si>
  <si>
    <t>FI2526007571</t>
  </si>
  <si>
    <t>FI2526007776</t>
  </si>
  <si>
    <t>FI2526007863</t>
  </si>
  <si>
    <t>FI2526008626</t>
  </si>
  <si>
    <t>FI2526008627</t>
  </si>
  <si>
    <t>FI2526008643</t>
  </si>
  <si>
    <t>FI2526009378</t>
  </si>
  <si>
    <t>FI2526009688</t>
  </si>
  <si>
    <t>FI2526009689</t>
  </si>
  <si>
    <t>C1B1124001756002-Suprt Plate Bsbr 2 Bsbr</t>
  </si>
  <si>
    <t>PTD5903542001-Platform wt Ladder 1450 Ht</t>
  </si>
  <si>
    <t>Balance payable/ Refund</t>
  </si>
  <si>
    <t>FI2627000000</t>
  </si>
  <si>
    <t>FI2627000001</t>
  </si>
  <si>
    <t>FI2627000002</t>
  </si>
  <si>
    <t>FI2627000003</t>
  </si>
  <si>
    <t>FI2627000005</t>
  </si>
  <si>
    <t>FI2627000006</t>
  </si>
  <si>
    <t>FI2627000016</t>
  </si>
  <si>
    <t>FI2627000027</t>
  </si>
  <si>
    <t>FI2627000030</t>
  </si>
  <si>
    <t>FI2627000031</t>
  </si>
  <si>
    <t>FI2627000032</t>
  </si>
  <si>
    <t>FI2627000043</t>
  </si>
  <si>
    <t>FI2627000044</t>
  </si>
  <si>
    <t>FI2627000045</t>
  </si>
  <si>
    <t>FI2627000047</t>
  </si>
  <si>
    <t>FI2627000052</t>
  </si>
  <si>
    <t>FI2627000063</t>
  </si>
  <si>
    <t>FI2627000064</t>
  </si>
  <si>
    <t>FI2627000065</t>
  </si>
  <si>
    <t>FI2627000066</t>
  </si>
  <si>
    <t>FI2627000067</t>
  </si>
  <si>
    <t>FI2627000069</t>
  </si>
  <si>
    <t>FI2627000070</t>
  </si>
  <si>
    <t>FI2627000071</t>
  </si>
  <si>
    <t>FI2627000072</t>
  </si>
  <si>
    <t>FI2627000077</t>
  </si>
  <si>
    <t>FI2627000078</t>
  </si>
  <si>
    <t>FI2627000079</t>
  </si>
  <si>
    <t>FI2627000084</t>
  </si>
  <si>
    <t>FI2627000085</t>
  </si>
  <si>
    <t>FI2627000086</t>
  </si>
  <si>
    <t>FI2627000087</t>
  </si>
  <si>
    <t>FI2627000109</t>
  </si>
  <si>
    <t>FI2627000110</t>
  </si>
  <si>
    <t>FI2627000111</t>
  </si>
  <si>
    <t>FI2627000112</t>
  </si>
  <si>
    <t>Port of Loading</t>
  </si>
  <si>
    <t>Port of discharge</t>
  </si>
  <si>
    <t>FI2627000094</t>
  </si>
  <si>
    <t>FI2627000107</t>
  </si>
  <si>
    <t>Instrument Currency</t>
  </si>
  <si>
    <t>No.</t>
  </si>
  <si>
    <t>Instrument Amount</t>
  </si>
  <si>
    <t>Transport Document Reference Number</t>
  </si>
  <si>
    <t>Not Applicable</t>
  </si>
  <si>
    <t xml:space="preserve">Corresponding Invoice Number (for Credit Note Submission Only) </t>
  </si>
  <si>
    <t>Goods Descriptions</t>
  </si>
  <si>
    <t>Name of Shipper</t>
  </si>
  <si>
    <t>Name of Shipping Company</t>
  </si>
  <si>
    <t>Name of Vessel</t>
  </si>
  <si>
    <t>Other Date</t>
  </si>
  <si>
    <t>GSTIN</t>
  </si>
  <si>
    <t>GST Exempted</t>
  </si>
  <si>
    <t>CIP for 12/18 Panel Structure_New Design</t>
  </si>
  <si>
    <t>FI2627000123</t>
  </si>
  <si>
    <t>TOWER12A TUBULR3 LEG W PLT &amp; FNCE-FAB</t>
  </si>
  <si>
    <t>FI2627000124</t>
  </si>
  <si>
    <t>FI2627000125</t>
  </si>
  <si>
    <t>FI2627000126</t>
  </si>
  <si>
    <t>FI2627000143</t>
  </si>
  <si>
    <t>FI2627000146</t>
  </si>
  <si>
    <t>FI2627000154</t>
  </si>
  <si>
    <t>FI2627000103</t>
  </si>
  <si>
    <t>FI2627000138</t>
  </si>
  <si>
    <t>NSK/7547</t>
  </si>
  <si>
    <t>PTD5903864004-Struct ISA 65X65X6</t>
  </si>
  <si>
    <t>FI2627000141</t>
  </si>
  <si>
    <t>NSK/7546</t>
  </si>
  <si>
    <t>PTD5903894001-Struct ISA 7575X8-3230L</t>
  </si>
  <si>
    <t>FI2627000145</t>
  </si>
  <si>
    <t>NSK/7545</t>
  </si>
  <si>
    <t>PTD5903754003-FB M39 X1080</t>
  </si>
  <si>
    <t>FI2627000147</t>
  </si>
  <si>
    <t>NSK/7548</t>
  </si>
  <si>
    <t>PTD5903754002 FB M36X1080 Non-PG 420 KV</t>
  </si>
  <si>
    <t>FI2627000162</t>
  </si>
  <si>
    <t>NSK/7583</t>
  </si>
  <si>
    <t>FI2627000163</t>
  </si>
  <si>
    <t>NSK/7582</t>
  </si>
  <si>
    <t>FI2627000118</t>
  </si>
  <si>
    <t>FI2627000119</t>
  </si>
  <si>
    <t>FI2627000120</t>
  </si>
  <si>
    <t>FI2627000121</t>
  </si>
  <si>
    <t>FI2627000122</t>
  </si>
  <si>
    <t>FI2627000127</t>
  </si>
  <si>
    <t>FI2627000128</t>
  </si>
  <si>
    <t>FI2627000134</t>
  </si>
  <si>
    <t>FI2627000135</t>
  </si>
  <si>
    <t>FI2627000136</t>
  </si>
  <si>
    <t>FI2627000137</t>
  </si>
  <si>
    <t>FI2627000139</t>
  </si>
  <si>
    <t>FI2627000140</t>
  </si>
  <si>
    <t>FI2627000148</t>
  </si>
  <si>
    <t>FI2627000151</t>
  </si>
  <si>
    <t>FI2627000152</t>
  </si>
  <si>
    <t>FI2627000153</t>
  </si>
  <si>
    <t>FI2627000155</t>
  </si>
  <si>
    <t>FI2627000156</t>
  </si>
  <si>
    <t>Status</t>
  </si>
  <si>
    <t>Available Balance</t>
  </si>
  <si>
    <t>DBS INVOICE DISCOUNTING</t>
  </si>
  <si>
    <t>Theme:</t>
  </si>
  <si>
    <t>2026-27</t>
  </si>
  <si>
    <t>$A$2</t>
  </si>
  <si>
    <t>Indian Rupee (INR)</t>
  </si>
  <si>
    <t>None</t>
  </si>
  <si>
    <t>US Dollar (USD)</t>
  </si>
  <si>
    <t>Euro (EUR)</t>
  </si>
  <si>
    <t>British Pound (GBP)</t>
  </si>
  <si>
    <t>Japanese Yen (JPY)</t>
  </si>
  <si>
    <t>Korean Won (KRW)</t>
  </si>
  <si>
    <t>Russian Ruble (RUB)</t>
  </si>
  <si>
    <t>Bitcoin (BTC)</t>
  </si>
  <si>
    <t>Thai Baht (THB)</t>
  </si>
  <si>
    <t>Philippine Peso (PHP)</t>
  </si>
  <si>
    <t>Vietnamese Dong (VND)</t>
  </si>
  <si>
    <t>Israeli Shekel (ILS)</t>
  </si>
  <si>
    <t>Nigerian Naira (NGN)</t>
  </si>
  <si>
    <t>Turkish Lira (TRY)</t>
  </si>
  <si>
    <t>Saudi Riyal (SAR)</t>
  </si>
  <si>
    <t>Brazilian Real (BRL)</t>
  </si>
  <si>
    <t>Indonesian Rupiah (IDR)</t>
  </si>
  <si>
    <t>Malaysian Ringgit (MYR)</t>
  </si>
  <si>
    <t>Swiss Franc (CHF)</t>
  </si>
  <si>
    <t>DASHBOARD CONTROL CENTER</t>
  </si>
  <si>
    <t xml:space="preserve">   ADD CUSTOM KPI</t>
  </si>
  <si>
    <t xml:space="preserve"> Select the column and aggregation.</t>
  </si>
  <si>
    <t xml:space="preserve"> KPI Title:</t>
  </si>
  <si>
    <t xml:space="preserve"> Column:</t>
  </si>
  <si>
    <t xml:space="preserve"> Aggregation:</t>
  </si>
  <si>
    <t xml:space="preserve"> Label Setting:</t>
  </si>
  <si>
    <t xml:space="preserve"> Currency Symbol:</t>
  </si>
  <si>
    <t>sum</t>
  </si>
  <si>
    <t>Auto</t>
  </si>
  <si>
    <t xml:space="preserve">   ADD CUSTOM CHART</t>
  </si>
  <si>
    <t xml:space="preserve"> Configure axes and chart type.</t>
  </si>
  <si>
    <t xml:space="preserve"> Chart Title:</t>
  </si>
  <si>
    <t xml:space="preserve"> Chart Type:</t>
  </si>
  <si>
    <t xml:space="preserve"> X-Axis Column:</t>
  </si>
  <si>
    <t xml:space="preserve"> Date Hierarchy:</t>
  </si>
  <si>
    <t xml:space="preserve"> Y-Axis Column:</t>
  </si>
  <si>
    <t xml:space="preserve"> Top N (0 for All):</t>
  </si>
  <si>
    <t xml:space="preserve"> X-Axis Label:</t>
  </si>
  <si>
    <t xml:space="preserve"> Y-Axis Label:</t>
  </si>
  <si>
    <t>column</t>
  </si>
  <si>
    <t xml:space="preserve">Instrument Amount </t>
  </si>
  <si>
    <t xml:space="preserve">Debtor Code </t>
  </si>
  <si>
    <t>CUSTOMERS</t>
  </si>
  <si>
    <t>OUTSTANDING</t>
  </si>
  <si>
    <t>PCFC with</t>
  </si>
  <si>
    <t>FE2627000000</t>
  </si>
  <si>
    <t>DEPCOM Power - OH120 - Tymotchee, OH</t>
  </si>
  <si>
    <t>BOMS03255</t>
  </si>
  <si>
    <t>FE2627000001</t>
  </si>
  <si>
    <t>Mortenson:Saddle, FL</t>
  </si>
  <si>
    <t>FE2526000213</t>
  </si>
  <si>
    <t>Project - Moss : Indrio, FL</t>
  </si>
  <si>
    <t>BOMS03034</t>
  </si>
  <si>
    <t>FE2526000214</t>
  </si>
  <si>
    <t>Moss : Wood Stork, FL</t>
  </si>
  <si>
    <t>MUM252600835</t>
  </si>
  <si>
    <t>FE2526000215</t>
  </si>
  <si>
    <t>MUM252600836</t>
  </si>
  <si>
    <t>FE2526000216</t>
  </si>
  <si>
    <t>MUM252600837</t>
  </si>
  <si>
    <t>FE2526000218</t>
  </si>
  <si>
    <t>BOMS03114</t>
  </si>
  <si>
    <t>FE2526000222</t>
  </si>
  <si>
    <t>FE2526000223</t>
  </si>
  <si>
    <t>FE2526000227</t>
  </si>
  <si>
    <t>DEPCOM Power - OH155 Spring Water, OH</t>
  </si>
  <si>
    <t>BOMS03140</t>
  </si>
  <si>
    <t>FE2526000228</t>
  </si>
  <si>
    <t>BOMS03138</t>
  </si>
  <si>
    <t>FE2526000231</t>
  </si>
  <si>
    <t>FE2526000232</t>
  </si>
  <si>
    <t>Moss-Forest Trail (PWA), FL</t>
  </si>
  <si>
    <t>BOMS03142</t>
  </si>
  <si>
    <t>FE2526000233</t>
  </si>
  <si>
    <t>FE2526000234</t>
  </si>
  <si>
    <t>BOMS03144</t>
  </si>
  <si>
    <t>FE2526000235</t>
  </si>
  <si>
    <t>BOMS03145</t>
  </si>
  <si>
    <t>FE2526000237</t>
  </si>
  <si>
    <t>BOMS03183</t>
  </si>
  <si>
    <t>FE2526000238</t>
  </si>
  <si>
    <t>BOMS03184</t>
  </si>
  <si>
    <t>FE2526000239</t>
  </si>
  <si>
    <t>FE2526000240</t>
  </si>
  <si>
    <t>FE2526000242</t>
  </si>
  <si>
    <t>FE2526000244</t>
  </si>
  <si>
    <t>FE2526000246</t>
  </si>
  <si>
    <t>FE2526000248</t>
  </si>
  <si>
    <t>FE2526000249</t>
  </si>
  <si>
    <t>FE2526000250</t>
  </si>
  <si>
    <t>PO #</t>
  </si>
  <si>
    <t>FI2526008847</t>
  </si>
  <si>
    <t>FI2526009296</t>
  </si>
  <si>
    <t>FI2526009297</t>
  </si>
  <si>
    <t>FI2526009375</t>
  </si>
  <si>
    <t>FI2526009442</t>
  </si>
  <si>
    <t>FI2526009710</t>
  </si>
  <si>
    <t>FI2526009711</t>
  </si>
  <si>
    <t>FI2627000168</t>
  </si>
  <si>
    <t>FI2627000169</t>
  </si>
  <si>
    <t>11527</t>
  </si>
  <si>
    <t>11528</t>
  </si>
  <si>
    <t>FI2627000164</t>
  </si>
  <si>
    <t>FI2627000165</t>
  </si>
  <si>
    <t>FI2627000170</t>
  </si>
  <si>
    <t>FI2627000171</t>
  </si>
  <si>
    <t>FI2627000175</t>
  </si>
  <si>
    <t>2000146179</t>
  </si>
  <si>
    <t>2000146180</t>
  </si>
  <si>
    <t>2000146185</t>
  </si>
  <si>
    <t>2000146189</t>
  </si>
  <si>
    <t>2000146186</t>
  </si>
  <si>
    <t>TUBULAR POLE 23M HIGH WS-50M/S</t>
  </si>
  <si>
    <t>FI2627000166</t>
  </si>
  <si>
    <t>FI2627000174</t>
  </si>
  <si>
    <t>NSK/7606</t>
  </si>
  <si>
    <t>GITHUB SETUP: STEP-BY-STEP GUIDE</t>
  </si>
  <si>
    <t>STEP 1: GITHUB USERNAME (OWNER)</t>
  </si>
  <si>
    <t>• Your 'Owner' name is simply your GitHub Username.</t>
  </si>
  <si>
    <t>• Example: If your profile link is github.com/john-doe, then Username is 'john-doe'.</t>
  </si>
  <si>
    <t>STEP 2: GITHUB REPO NAME (CREATE REPOSITORY)</t>
  </si>
  <si>
    <t>1. Click '+' (Top Right) on GitHub &gt; 'New repository'.</t>
  </si>
  <si>
    <t>2. Repository Name: Enter a name (e.g., 'my-chart'). Enter this in the 'Repo' field.</t>
  </si>
  <si>
    <t>3. IMPORTANT: Select 'PUBLIC' and check 'Add a README file'.</t>
  </si>
  <si>
    <t>4. Click 'Create repository'.</t>
  </si>
  <si>
    <t>STEP 3: BRANCH (DEFAULT SETTING)</t>
  </si>
  <si>
    <t>• By default, GitHub creates a branch named 'main'.</t>
  </si>
  <si>
    <t>• In the UserForm, 'Branch' is already set to 'main'. Do not change it unless you use a custom branch.</t>
  </si>
  <si>
    <t>STEP 4: GITHUB BASE URL (CREATE LIVE LINK)</t>
  </si>
  <si>
    <t>To get the Live Link, follow these sub-steps in your Repo:</t>
  </si>
  <si>
    <t>1. Click 'Settings' tab (Top Menu of your Repo).</t>
  </si>
  <si>
    <t>2. Left Sidebar &gt; Click 'Pages'.</t>
  </si>
  <si>
    <t>3. Under Build/Deployment &gt; Branch: Select 'main' and click 'SAVE'.</t>
  </si>
  <si>
    <t>4. Wait 1 min, Refresh page. Copy the link: 'Your site is live at https://...'</t>
  </si>
  <si>
    <t>5. Paste this link into 'GITHUB Base URL' in the Excel UserForm.</t>
  </si>
  <si>
    <t>STEP 5: GITHUB TOKEN (CREATE PASSWORD)</t>
  </si>
  <si>
    <t>&gt;&gt;&gt; CLICK HERE TO OPEN TOKEN PAGE &lt;&lt;&lt;</t>
  </si>
  <si>
    <t>1. Note: Name it 'Excel Upload'. Set Expiration to 'No expiration'.</t>
  </si>
  <si>
    <t>2. CRITICAL: Check the box named 'repo' (Full control of Your Own repo for Uploading).</t>
  </si>
  <si>
    <t>3. Click 'Generate Token' at bottom. Copy the code (ghp_...) and paste in 'Token' field.</t>
  </si>
  <si>
    <t>FINAL CHECKLIST FOR USERFORM</t>
  </si>
  <si>
    <t>FIELD</t>
  </si>
  <si>
    <t>SOURCE</t>
  </si>
  <si>
    <t>Owner</t>
  </si>
  <si>
    <t>Step 1 (Username)</t>
  </si>
  <si>
    <t>Repo</t>
  </si>
  <si>
    <t>Step 2 (Repo Name)</t>
  </si>
  <si>
    <t>Branch</t>
  </si>
  <si>
    <t>Step 3 (main)</t>
  </si>
  <si>
    <t>Pages Base URL</t>
  </si>
  <si>
    <t>Step 4 (Live Link)</t>
  </si>
  <si>
    <t>Token</t>
  </si>
  <si>
    <t>Step 5 (ghp_... code)</t>
  </si>
  <si>
    <t>WHICH BUTTON TO USE? (UPLOAD OPTIONS)</t>
  </si>
  <si>
    <t>OPTION 1: PUBLISH TO OWN GITHUB ACCOUNT (GREEN BUTTON)</t>
  </si>
  <si>
    <t>• Best For: Professional use, permanent charts, and private data.</t>
  </si>
  <si>
    <t>• Ownership: The file is uploaded to YOUR personal GitHub account. You are the owner.</t>
  </si>
  <si>
    <t>• Security: Your files stay as long as you want. They are never deleted automatically.</t>
  </si>
  <si>
    <t>• Customization: The link will contain your GitHub username, making it look professional.</t>
  </si>
  <si>
    <t>• Setup: Requires a one-time setup of Token and Repository (Follow Steps 1 to 5 above).</t>
  </si>
  <si>
    <t>OPTION 2: PUBLISH TO XLBOOSTER GITHUB ACCOUNT (ORANGE BUTTON)</t>
  </si>
  <si>
    <t>• Best For: Beginners, quick testing, or instant sharing without any technical setup.</t>
  </si>
  <si>
    <t>• No Setup: You do NOT need a GitHub account, Token, or Repo name. Just click and upload.</t>
  </si>
  <si>
    <t>• Hosting: Your chart is hosted on the XLBooster Public Github Account for easy access.</t>
  </si>
  <si>
    <t>• Expiry: This is a TEMPORARY link. Charts are automatically DELETED after 30 days.</t>
  </si>
  <si>
    <t>• Privacy: Do not upload sensitive or personal data here, as the XLBooster repo is public.</t>
  </si>
  <si>
    <t>Animated</t>
  </si>
  <si>
    <t>FI2627000176</t>
  </si>
  <si>
    <t>FI2627000177</t>
  </si>
  <si>
    <t>FI2627000178</t>
  </si>
  <si>
    <t>FI2627000179</t>
  </si>
  <si>
    <t>FI2627000182</t>
  </si>
  <si>
    <t>FI2627000183</t>
  </si>
  <si>
    <t>FI2627000184</t>
  </si>
  <si>
    <t>FI2627000185</t>
  </si>
  <si>
    <t>FI2627000186</t>
  </si>
  <si>
    <t>FI2627000188</t>
  </si>
  <si>
    <t>806</t>
  </si>
  <si>
    <t>805</t>
  </si>
  <si>
    <t>807</t>
  </si>
  <si>
    <t>11529</t>
  </si>
  <si>
    <t>FI2627000181</t>
  </si>
  <si>
    <t>FI2627000187</t>
  </si>
  <si>
    <t>2000146210</t>
  </si>
  <si>
    <t>2000146212</t>
  </si>
  <si>
    <t>FI2627000196</t>
  </si>
  <si>
    <t>FI2627000197</t>
  </si>
  <si>
    <t>FI2627000198</t>
  </si>
  <si>
    <t>FI2627000199</t>
  </si>
  <si>
    <t>78526</t>
  </si>
  <si>
    <t>810</t>
  </si>
  <si>
    <t>11530</t>
  </si>
  <si>
    <t>FI2627000191</t>
  </si>
  <si>
    <t>FI2627000201</t>
  </si>
  <si>
    <t>2000146217</t>
  </si>
  <si>
    <t>2000146236</t>
  </si>
  <si>
    <t>FI2526009707</t>
  </si>
  <si>
    <t>FI2526009708</t>
  </si>
  <si>
    <t>FI2627000028</t>
  </si>
  <si>
    <t>FI2627000029</t>
  </si>
  <si>
    <t>FI2627000038</t>
  </si>
  <si>
    <t>FI2627000046</t>
  </si>
  <si>
    <t>FI2627000076</t>
  </si>
  <si>
    <t>FI2627000161</t>
  </si>
  <si>
    <t>FI2627000192</t>
  </si>
  <si>
    <t>CLEANMAX</t>
  </si>
  <si>
    <t>10012</t>
  </si>
  <si>
    <t>10013</t>
  </si>
  <si>
    <t>10015</t>
  </si>
  <si>
    <t>10020</t>
  </si>
  <si>
    <t>784</t>
  </si>
  <si>
    <t>500598-MMS Structure-Column Post-HDG</t>
  </si>
  <si>
    <t>500598-Mdule Muntng Struct E350-Cleanmax</t>
  </si>
  <si>
    <t>500598-MMS Strctr Column Raftr &amp; Bracng</t>
  </si>
  <si>
    <t>11517</t>
  </si>
  <si>
    <t>21124</t>
  </si>
  <si>
    <t>10036</t>
  </si>
  <si>
    <t>21126</t>
  </si>
  <si>
    <t>78527</t>
  </si>
  <si>
    <t>FI2627000042</t>
  </si>
  <si>
    <t>FI2627000105</t>
  </si>
  <si>
    <t>FI2627000106</t>
  </si>
  <si>
    <t>FI2627000108</t>
  </si>
  <si>
    <t>FI2627000202</t>
  </si>
  <si>
    <t>AVAADA</t>
  </si>
  <si>
    <t>3M LONG &amp; 25MM DIA ROUND MS BAR</t>
  </si>
  <si>
    <t>C1-C185X90X15X2-2327.5L -E350 HDG_Avaada</t>
  </si>
  <si>
    <t>C1-C175X70X15X2-2324.8L -E350 HDG_Avaada</t>
  </si>
  <si>
    <t>FI2627000189</t>
  </si>
  <si>
    <t>FI2627000190</t>
  </si>
  <si>
    <t>ARCHTECH</t>
  </si>
  <si>
    <t>78507</t>
  </si>
  <si>
    <t>General Post 1 C150x100x15x3.0x2006</t>
  </si>
  <si>
    <t>FI2627000204</t>
  </si>
  <si>
    <t>FI2627000205</t>
  </si>
  <si>
    <t>FI2627000206</t>
  </si>
  <si>
    <t>FI2627000207</t>
  </si>
  <si>
    <t>FI2627000208</t>
  </si>
  <si>
    <t>812</t>
  </si>
  <si>
    <t>814</t>
  </si>
  <si>
    <t>2000146250</t>
  </si>
  <si>
    <t>10073</t>
  </si>
  <si>
    <t>EXTENSION POST 1 - C70X30X10X2.0X1100</t>
  </si>
  <si>
    <t>FI2627000210</t>
  </si>
  <si>
    <t>FI2627000211</t>
  </si>
  <si>
    <t>FI2627000213</t>
  </si>
  <si>
    <t>10074</t>
  </si>
  <si>
    <t>10075</t>
  </si>
  <si>
    <t>10076</t>
  </si>
  <si>
    <t>FI2627000221</t>
  </si>
  <si>
    <t>FI2627000222</t>
  </si>
  <si>
    <t>FI2627000223</t>
  </si>
  <si>
    <t>FI2627000224</t>
  </si>
  <si>
    <t>FI2627000226</t>
  </si>
  <si>
    <t>FI2627000227</t>
  </si>
  <si>
    <t>FI2627000228</t>
  </si>
  <si>
    <t>FI2627000229</t>
  </si>
  <si>
    <t>FI2627000233</t>
  </si>
  <si>
    <t>FI2627000236</t>
  </si>
  <si>
    <t>FI2627000237</t>
  </si>
  <si>
    <t>FI2627000238</t>
  </si>
  <si>
    <t>FI2627000243</t>
  </si>
  <si>
    <t>78525</t>
  </si>
  <si>
    <t>808</t>
  </si>
  <si>
    <t>78532</t>
  </si>
  <si>
    <t>58654</t>
  </si>
  <si>
    <t>78533</t>
  </si>
  <si>
    <t>2000146317</t>
  </si>
  <si>
    <t>2000146316</t>
  </si>
  <si>
    <t>2000146318</t>
  </si>
  <si>
    <t>817</t>
  </si>
  <si>
    <t>10077</t>
  </si>
  <si>
    <t>10078</t>
  </si>
  <si>
    <t>C1-C90X15X15X2-2849.62L -E350 HDG_Avaada</t>
  </si>
  <si>
    <t>Click any sheet name to navigate • Click 'Delete' to remove sheet</t>
  </si>
  <si>
    <t>Sheet Name</t>
  </si>
  <si>
    <t>Used Rows</t>
  </si>
  <si>
    <t>Used Cols</t>
  </si>
  <si>
    <t>Protection</t>
  </si>
  <si>
    <t>Visibility</t>
  </si>
  <si>
    <t>Action</t>
  </si>
  <si>
    <t>Unprotected</t>
  </si>
  <si>
    <t>Hidden</t>
  </si>
  <si>
    <t>Delete</t>
  </si>
  <si>
    <t>DOMESTIC</t>
  </si>
  <si>
    <t>Visible</t>
  </si>
  <si>
    <t>Dash_Backend</t>
  </si>
  <si>
    <t>Dash_Settings</t>
  </si>
  <si>
    <t>EXPORT</t>
  </si>
  <si>
    <t>GitHub Setup Guide</t>
  </si>
  <si>
    <t>Offline_Dashboard</t>
  </si>
  <si>
    <t>SUMMARY</t>
  </si>
  <si>
    <t>SHEET INDEX DASHBOARD - 7 SHEETS</t>
  </si>
  <si>
    <t>Generated Formula:</t>
  </si>
  <si>
    <t>Based on sheet: DOMESTIC</t>
  </si>
  <si>
    <t>Sheet Structure:</t>
  </si>
  <si>
    <t>Sheet Name: DOMESTIC_x000D_
Headers (Row 1): [Status] [No.] [Account Code] [Debtor Code] [Instrument Type] [Instrument Number] [Instrument Date] [Instrument Currency] [Instrument Amount] [Instrument Due Date] [Not Applicable] [Corresponding Invoice Number (for Credit Note Submission Only) ] [Transport Document Reference Number] [Transport Document Date] [Port of Loading] [Port of discharge] [Goods Descriptions] [Name of Shipper] [Name of Shipping Company] [Name of Vessel] [Other Date] [GSTIN] [GST Exempted] _x000D_
Data Structure: Columns A:W (Full Columns)</t>
  </si>
  <si>
    <t># Import pandas library_x000D_
import pandas as pd_x000D_
_x000D_
# Group the DataFrame by 'Debtor Code' column_x000D_
grouped = df.groupby('Debtor Code')_x000D_
_x000D_
# Iterate over each group and save to separate CSV files named by debtor code_x000D_
for debtor_code, group_df in grouped:_x000D_
    # Create a safe filename by converting debtor code to string and replacing spaces if any_x000D_
    filename = f"debtor_code_{str(debtor_code).replace(' ', '_')}.csv"_x000D_
    # Save the group DataFrame to CSV without the index_x000D_
    group_df.to_csv(filename, index=False)</t>
  </si>
  <si>
    <t>FI2627000245</t>
  </si>
  <si>
    <t>FI2627000246</t>
  </si>
  <si>
    <t>FI2627000247</t>
  </si>
  <si>
    <t>FI2627000248</t>
  </si>
  <si>
    <t>FI2627000249</t>
  </si>
  <si>
    <t>FI2627000250</t>
  </si>
  <si>
    <t>FI2627000251</t>
  </si>
  <si>
    <t>FI2627000252</t>
  </si>
  <si>
    <t>FI2627000253</t>
  </si>
  <si>
    <t>FI2627000254</t>
  </si>
  <si>
    <t>FI2627000255</t>
  </si>
  <si>
    <t>FI2627000256</t>
  </si>
  <si>
    <t>FI2627000257</t>
  </si>
  <si>
    <t>FI2627000258</t>
  </si>
  <si>
    <t>FI2627000259</t>
  </si>
  <si>
    <t>FI2627000260</t>
  </si>
  <si>
    <t>FI2627000261</t>
  </si>
  <si>
    <t>FI2627000262</t>
  </si>
  <si>
    <t>FI2627000264</t>
  </si>
  <si>
    <t>FI2627000265</t>
  </si>
  <si>
    <t>10079</t>
  </si>
  <si>
    <t>10080</t>
  </si>
  <si>
    <t>11535</t>
  </si>
  <si>
    <t>11536</t>
  </si>
  <si>
    <t>10081</t>
  </si>
  <si>
    <t>10082</t>
  </si>
  <si>
    <t>11533</t>
  </si>
  <si>
    <t>11534</t>
  </si>
  <si>
    <t>21133</t>
  </si>
  <si>
    <t>21134</t>
  </si>
  <si>
    <t>10083</t>
  </si>
  <si>
    <t>10084</t>
  </si>
  <si>
    <t>2000146340</t>
  </si>
  <si>
    <t>78535</t>
  </si>
  <si>
    <t>78536</t>
  </si>
  <si>
    <t>2000146338</t>
  </si>
  <si>
    <t>21132</t>
  </si>
  <si>
    <t>10085</t>
  </si>
  <si>
    <t>78538</t>
  </si>
  <si>
    <t>818</t>
  </si>
  <si>
    <t>CP-3PL100x70x2.0-110L-E350 Avaada</t>
  </si>
  <si>
    <t>EPF with Railing for Elite 402403STR40</t>
  </si>
  <si>
    <t>FI2627000289</t>
  </si>
  <si>
    <t>FI2627000292</t>
  </si>
  <si>
    <t>FI2627000293</t>
  </si>
  <si>
    <t>FI2627000294</t>
  </si>
  <si>
    <t>FI2627000295</t>
  </si>
  <si>
    <t>FI2627000296</t>
  </si>
  <si>
    <t>FI2627000297</t>
  </si>
  <si>
    <t>FI2627000298</t>
  </si>
  <si>
    <t>FI2627000299</t>
  </si>
  <si>
    <t>FI2627000302</t>
  </si>
  <si>
    <t>FI2627000303</t>
  </si>
  <si>
    <t>FI2627000305</t>
  </si>
  <si>
    <t>FI2627000306</t>
  </si>
  <si>
    <t>FI2627000307</t>
  </si>
  <si>
    <t>FI2627000308</t>
  </si>
  <si>
    <t>FI2627000309</t>
  </si>
  <si>
    <t>FI2627000310</t>
  </si>
  <si>
    <t>FI2627000312</t>
  </si>
  <si>
    <t>FI2627000313</t>
  </si>
  <si>
    <t>FI2627000314</t>
  </si>
  <si>
    <t>FI2627000315</t>
  </si>
  <si>
    <t>FI2627000316</t>
  </si>
  <si>
    <t>FI2627000317</t>
  </si>
  <si>
    <t>FI2627000318</t>
  </si>
  <si>
    <t>FI2627000319</t>
  </si>
  <si>
    <t>FI2627000320</t>
  </si>
  <si>
    <t>FI2627000321</t>
  </si>
  <si>
    <t>FI2627000322</t>
  </si>
  <si>
    <t>FI2627000323</t>
  </si>
  <si>
    <t>FI2627000324</t>
  </si>
  <si>
    <t>FI2627000325</t>
  </si>
  <si>
    <t>10086</t>
  </si>
  <si>
    <t>10087</t>
  </si>
  <si>
    <t>10088</t>
  </si>
  <si>
    <t>10089</t>
  </si>
  <si>
    <t>10092</t>
  </si>
  <si>
    <t>10093</t>
  </si>
  <si>
    <t>10090</t>
  </si>
  <si>
    <t>10091</t>
  </si>
  <si>
    <t>2000146370</t>
  </si>
  <si>
    <t>10096</t>
  </si>
  <si>
    <t>10097</t>
  </si>
  <si>
    <t>10094</t>
  </si>
  <si>
    <t>10095</t>
  </si>
  <si>
    <t>10098</t>
  </si>
  <si>
    <t>10099</t>
  </si>
  <si>
    <t>10100</t>
  </si>
  <si>
    <t>10101</t>
  </si>
  <si>
    <t>10102</t>
  </si>
  <si>
    <t>10103</t>
  </si>
  <si>
    <t>10104</t>
  </si>
  <si>
    <t>10105</t>
  </si>
  <si>
    <t>10106</t>
  </si>
  <si>
    <t>10107</t>
  </si>
  <si>
    <t>2000146371</t>
  </si>
  <si>
    <t>10110</t>
  </si>
  <si>
    <t>10111</t>
  </si>
  <si>
    <t>10108</t>
  </si>
  <si>
    <t>10109</t>
  </si>
  <si>
    <t>820</t>
  </si>
  <si>
    <t>10112</t>
  </si>
  <si>
    <t>10113</t>
  </si>
  <si>
    <t>FI2627000327</t>
  </si>
  <si>
    <t>FI2627000328</t>
  </si>
  <si>
    <t>FI2627000329</t>
  </si>
  <si>
    <t>FI2627000330</t>
  </si>
  <si>
    <t>FI2627000331</t>
  </si>
  <si>
    <t>FI2627000332</t>
  </si>
  <si>
    <t>FI2627000333</t>
  </si>
  <si>
    <t>FI2627000334</t>
  </si>
  <si>
    <t>FI2627000335</t>
  </si>
  <si>
    <t>FI2627000336</t>
  </si>
  <si>
    <t>FI2627000337</t>
  </si>
  <si>
    <t>FI2627000338</t>
  </si>
  <si>
    <t>FI2627000339</t>
  </si>
  <si>
    <t>FI2627000340</t>
  </si>
  <si>
    <t>FI2627000341</t>
  </si>
  <si>
    <t>FI2627000342</t>
  </si>
  <si>
    <t>FI2627000343</t>
  </si>
  <si>
    <t>FI2627000344</t>
  </si>
  <si>
    <t>FI2627000345</t>
  </si>
  <si>
    <t>FI2627000346</t>
  </si>
  <si>
    <t>FI2627000347</t>
  </si>
  <si>
    <t>FI2627000348</t>
  </si>
  <si>
    <t>FI2627000349</t>
  </si>
  <si>
    <t>FI2627000350</t>
  </si>
  <si>
    <t>FI2627000351</t>
  </si>
  <si>
    <t>FI2627000352</t>
  </si>
  <si>
    <t>FI2627000353</t>
  </si>
  <si>
    <t>FI2627000355</t>
  </si>
  <si>
    <t>FI2627000356</t>
  </si>
  <si>
    <t>10114</t>
  </si>
  <si>
    <t>10115</t>
  </si>
  <si>
    <t>10116</t>
  </si>
  <si>
    <t>10117</t>
  </si>
  <si>
    <t>10118</t>
  </si>
  <si>
    <t>10119</t>
  </si>
  <si>
    <t>10120</t>
  </si>
  <si>
    <t>10121</t>
  </si>
  <si>
    <t>10122</t>
  </si>
  <si>
    <t>10123</t>
  </si>
  <si>
    <t>10124</t>
  </si>
  <si>
    <t>10125</t>
  </si>
  <si>
    <t>10126</t>
  </si>
  <si>
    <t>10127</t>
  </si>
  <si>
    <t>11538</t>
  </si>
  <si>
    <t>11539</t>
  </si>
  <si>
    <t>11540</t>
  </si>
  <si>
    <t>11541</t>
  </si>
  <si>
    <t>11542</t>
  </si>
  <si>
    <t>11543</t>
  </si>
  <si>
    <t>11544</t>
  </si>
  <si>
    <t>11545</t>
  </si>
  <si>
    <t>2000146379</t>
  </si>
  <si>
    <t>11546</t>
  </si>
  <si>
    <t>11547</t>
  </si>
  <si>
    <t>10128</t>
  </si>
  <si>
    <t>10129</t>
  </si>
  <si>
    <t>2000146383</t>
  </si>
  <si>
    <t>10130</t>
  </si>
  <si>
    <t>FI2627000360</t>
  </si>
  <si>
    <t>FI2627000361</t>
  </si>
  <si>
    <t>FI2627000362</t>
  </si>
  <si>
    <t>FI2627000363</t>
  </si>
  <si>
    <t>FI2627000364</t>
  </si>
  <si>
    <t>FI2627000365</t>
  </si>
  <si>
    <t>FI2627000366</t>
  </si>
  <si>
    <t>FI2627000367</t>
  </si>
  <si>
    <t>FI2627000368</t>
  </si>
  <si>
    <t>FI2627000369</t>
  </si>
  <si>
    <t>FI2627000370</t>
  </si>
  <si>
    <t>FI2627000371</t>
  </si>
  <si>
    <t>FI2627000372</t>
  </si>
  <si>
    <t>FI2627000373</t>
  </si>
  <si>
    <t>FI2627000374</t>
  </si>
  <si>
    <t>FI2627000375</t>
  </si>
  <si>
    <t>FI2627000376</t>
  </si>
  <si>
    <t>FI2627000377</t>
  </si>
  <si>
    <t>FI2627000378</t>
  </si>
  <si>
    <t>FI2627000379</t>
  </si>
  <si>
    <t>FI2627000380</t>
  </si>
  <si>
    <t>FI2627000381</t>
  </si>
  <si>
    <t>FI2627000383</t>
  </si>
  <si>
    <t>FI2627000384</t>
  </si>
  <si>
    <t>11548</t>
  </si>
  <si>
    <t>11549</t>
  </si>
  <si>
    <t>10131</t>
  </si>
  <si>
    <t>10132</t>
  </si>
  <si>
    <t>2000146384</t>
  </si>
  <si>
    <t>823</t>
  </si>
  <si>
    <t>78541</t>
  </si>
  <si>
    <t>78542</t>
  </si>
  <si>
    <t>10133</t>
  </si>
  <si>
    <t>824</t>
  </si>
  <si>
    <t>10134</t>
  </si>
  <si>
    <t>10135</t>
  </si>
  <si>
    <t>10136</t>
  </si>
  <si>
    <t>10137</t>
  </si>
  <si>
    <t>10138</t>
  </si>
  <si>
    <t>10139</t>
  </si>
  <si>
    <t>11550</t>
  </si>
  <si>
    <t>11601</t>
  </si>
  <si>
    <t>11602</t>
  </si>
  <si>
    <t>11603</t>
  </si>
  <si>
    <t>11604</t>
  </si>
  <si>
    <t>11605</t>
  </si>
  <si>
    <t>825</t>
  </si>
  <si>
    <t>11606</t>
  </si>
  <si>
    <t>12A-BIL-TowerGBT- 3 Leg.Tub 30M170KMPH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</si>
</sst>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_(* #,##0_);_(* \(#,##0\);_(* &quot;-&quot;??_);_(@_)"/>
    <numFmt numFmtId="166" formatCode="_ * #,##0_ ;_ * \-#,##0_ ;_ * &quot;-&quot;??_ ;_ @_ "/>
    <numFmt numFmtId="167" formatCode="_ [$₹-4009]\ * #,##0.00_ ;_ [$₹-4009]\ * \-#,##0.00_ ;_ [$₹-4009]\ * &quot;-&quot;??_ ;_ @_ "/>
    <numFmt numFmtId="168" formatCode="_-[$$-409]* #,##0.00_ ;_-[$$-409]* \-#,##0.00\ ;_-[$$-409]* &quot;-&quot;??_ ;_-@_ "/>
    <numFmt numFmtId="169" formatCode="#,##0.0"/>
    <numFmt numFmtId="170" formatCode="dd\-mm\-yyyy"/>
    <numFmt numFmtId="171" formatCode="[&gt;=1000000][$₹-4009]\ 0.0,,&quot;M&quot;;[&gt;=1000][$₹-4009]\ 0.0,&quot;K&quot;;[$₹-4009]\ #,##0"/>
  </numFmts>
  <fonts count="71"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b/>
      <sz val="11"/>
      <color rgb="FFFFFF00"/>
      <name val="Calibri"/>
      <family val="2"/>
      <scheme val="minor"/>
    </font>
    <font>
      <sz val="10"/>
      <name val="Arial"/>
      <family val="2"/>
    </font>
    <font>
      <sz val="10"/>
      <name val="Arial"/>
      <family val="2"/>
    </font>
    <font>
      <b/>
      <sz val="14"/>
      <color theme="1"/>
      <name val="Calibri"/>
      <family val="2"/>
      <scheme val="minor"/>
    </font>
    <font>
      <sz val="14"/>
      <color theme="1"/>
      <name val="Calibri"/>
      <family val="2"/>
      <scheme val="minor"/>
    </font>
    <font>
      <u/>
      <sz val="11"/>
      <color theme="10"/>
      <name val="Calibri"/>
      <family val="2"/>
      <scheme val="minor"/>
    </font>
    <font>
      <sz val="10"/>
      <name val="Arial"/>
      <family val="2"/>
    </font>
    <font>
      <sz val="10"/>
      <name val="Arial"/>
      <family val="2"/>
    </font>
    <font>
      <sz val="11"/>
      <color rgb="FF000000"/>
      <name val="Arial"/>
      <family val="2"/>
    </font>
    <font>
      <sz val="12"/>
      <color rgb="FF000000"/>
      <name val="Arial"/>
      <family val="2"/>
    </font>
    <font>
      <b/>
      <sz val="11"/>
      <color theme="1"/>
      <name val="Book Antiqua"/>
      <family val="1"/>
    </font>
    <font>
      <sz val="10"/>
      <name val="Arial"/>
      <family val="2"/>
    </font>
    <font>
      <sz val="11"/>
      <color rgb="FF172733"/>
      <name val="Arial"/>
      <family val="2"/>
    </font>
    <font>
      <sz val="12"/>
      <color rgb="FF17181A"/>
      <name val="Arial"/>
      <family val="2"/>
    </font>
    <font>
      <sz val="12"/>
      <color rgb="FF9BA4AB"/>
      <name val="Arial"/>
      <family val="2"/>
    </font>
    <font>
      <b/>
      <sz val="12"/>
      <color rgb="FF000000"/>
      <name val="Arial"/>
      <family val="2"/>
    </font>
    <font>
      <sz val="11"/>
      <color rgb="FF000000"/>
      <name val="Arial"/>
      <family val="2"/>
    </font>
    <font>
      <sz val="11"/>
      <color rgb="FF000000"/>
      <name val="Arial"/>
      <family val="2"/>
    </font>
    <font>
      <sz val="11"/>
      <color rgb="FF000000"/>
      <name val="Arial"/>
      <family val="2"/>
    </font>
    <font>
      <b/>
      <sz val="11"/>
      <color rgb="FF000000"/>
      <name val="Arial"/>
      <family val="2"/>
    </font>
    <font>
      <sz val="9"/>
      <color theme="1"/>
      <name val="Segoe UI"/>
      <family val="2"/>
    </font>
    <font>
      <b/>
      <sz val="9"/>
      <color theme="1"/>
      <name val="Segoe UI"/>
      <family val="2"/>
    </font>
    <font>
      <sz val="9"/>
      <color rgb="FF0F172A"/>
      <name val="Segoe UI"/>
      <family val="2"/>
    </font>
    <font>
      <b/>
      <sz val="12"/>
      <color rgb="FF1E293B"/>
      <name val="Segoe UI"/>
      <family val="2"/>
    </font>
    <font>
      <b/>
      <sz val="11"/>
      <color rgb="FFFFFFFF"/>
      <name val="Segoe UI"/>
      <family val="2"/>
    </font>
    <font>
      <i/>
      <sz val="9"/>
      <color rgb="FF94A3B8"/>
      <name val="Segoe UI"/>
      <family val="2"/>
    </font>
    <font>
      <sz val="9"/>
      <color rgb="FF475569"/>
      <name val="Segoe UI"/>
      <family val="2"/>
    </font>
    <font>
      <b/>
      <sz val="9"/>
      <color rgb="FF475569"/>
      <name val="Segoe UI"/>
      <family val="2"/>
    </font>
    <font>
      <b/>
      <sz val="9"/>
      <color rgb="FFCBD5E1"/>
      <name val="Segoe UI"/>
      <family val="2"/>
    </font>
    <font>
      <sz val="9"/>
      <color rgb="FFCBD5E1"/>
      <name val="Segoe UI"/>
      <family val="2"/>
    </font>
    <font>
      <b/>
      <u/>
      <sz val="11"/>
      <color theme="10"/>
      <name val="Calibri"/>
      <family val="2"/>
      <scheme val="minor"/>
    </font>
    <font>
      <b/>
      <sz val="11"/>
      <color theme="10"/>
      <name val="Calibri"/>
      <family val="2"/>
      <scheme val="minor"/>
    </font>
    <font>
      <b/>
      <sz val="22"/>
      <color rgb="FFFFFFFF"/>
      <name val="Segoe UI"/>
      <family val="2"/>
    </font>
    <font>
      <sz val="10"/>
      <color rgb="FFEDEDED"/>
      <name val="Segoe UI"/>
      <family val="2"/>
    </font>
    <font>
      <sz val="11"/>
      <color rgb="FFFFFFFF"/>
      <name val="Calibri"/>
      <family val="2"/>
      <scheme val="minor"/>
    </font>
    <font>
      <b/>
      <sz val="9"/>
      <color rgb="FFFFFFFF"/>
      <name val="Segoe UI"/>
      <family val="2"/>
    </font>
    <font>
      <sz val="11"/>
      <color theme="1"/>
      <name val="Segoe UI"/>
      <family val="2"/>
    </font>
    <font>
      <b/>
      <sz val="20"/>
      <color rgb="FF212529"/>
      <name val="Segoe UI"/>
      <family val="2"/>
    </font>
    <font>
      <b/>
      <sz val="11"/>
      <color rgb="FFFFFFFF"/>
      <name val="Calibri"/>
      <family val="2"/>
      <scheme val="minor"/>
    </font>
    <font>
      <b/>
      <sz val="11"/>
      <color rgb="FFDC3545"/>
      <name val="Calibri"/>
      <family val="2"/>
      <scheme val="minor"/>
    </font>
    <font>
      <b/>
      <sz val="11"/>
      <color rgb="FF28A745"/>
      <name val="Calibri"/>
      <family val="2"/>
      <scheme val="minor"/>
    </font>
    <font>
      <b/>
      <sz val="11"/>
      <color rgb="FFFF8C0A"/>
      <name val="Calibri"/>
      <family val="2"/>
      <scheme val="minor"/>
    </font>
    <font>
      <b/>
      <sz val="11"/>
      <color rgb="FFFF0000"/>
      <name val="Calibri"/>
      <family val="2"/>
      <scheme val="minor"/>
    </font>
    <font>
      <i/>
      <sz val="11"/>
      <color rgb="FF960000"/>
      <name val="Calibri"/>
      <family val="2"/>
      <scheme val="minor"/>
    </font>
    <font>
      <b/>
      <sz val="14"/>
      <color rgb="FFFFFFFF"/>
      <name val="Calibri"/>
      <family val="2"/>
      <scheme val="minor"/>
    </font>
    <font>
      <i/>
      <sz val="9"/>
      <color rgb="FFC8C8C8"/>
      <name val="Calibri"/>
      <family val="2"/>
      <scheme val="minor"/>
    </font>
    <font>
      <sz val="10"/>
      <color theme="1"/>
      <name val="Calibri"/>
      <family val="2"/>
      <scheme val="minor"/>
    </font>
    <font>
      <u/>
      <sz val="10"/>
      <color theme="10"/>
      <name val="Calibri"/>
      <family val="2"/>
      <scheme val="minor"/>
    </font>
    <font>
      <u/>
      <sz val="10"/>
      <color rgb="FFFF3200"/>
      <name val="Calibri"/>
      <family val="2"/>
      <scheme val="minor"/>
    </font>
    <font>
      <b/>
      <sz val="11"/>
      <color rgb="FF006400"/>
      <name val="Calibri"/>
      <family val="2"/>
      <scheme val="minor"/>
    </font>
    <font>
      <sz val="9"/>
      <color theme="1"/>
      <name val="Courier New"/>
      <family val="3"/>
    </font>
  </fonts>
  <fills count="5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rgb="FFFFFFFF"/>
        <bgColor indexed="64"/>
      </patternFill>
    </fill>
    <fill>
      <patternFill patternType="solid">
        <fgColor rgb="FF00B0F0"/>
        <bgColor indexed="64"/>
      </patternFill>
    </fill>
    <fill>
      <patternFill patternType="solid">
        <fgColor rgb="FF92D050"/>
        <bgColor indexed="64"/>
      </patternFill>
    </fill>
    <fill>
      <patternFill patternType="solid">
        <fgColor rgb="FFF7F7F7"/>
        <bgColor indexed="64"/>
      </patternFill>
    </fill>
    <fill>
      <patternFill patternType="solid">
        <fgColor rgb="FFFCFCFC"/>
        <bgColor indexed="64"/>
      </patternFill>
    </fill>
    <fill>
      <patternFill patternType="solid">
        <fgColor rgb="FFF1F5F9"/>
        <bgColor indexed="64"/>
      </patternFill>
    </fill>
    <fill>
      <patternFill patternType="solid">
        <fgColor rgb="FF4F46E5"/>
        <bgColor indexed="64"/>
      </patternFill>
    </fill>
    <fill>
      <patternFill patternType="solid">
        <fgColor rgb="FFF6C3FF"/>
        <bgColor indexed="64"/>
      </patternFill>
    </fill>
    <fill>
      <patternFill patternType="solid">
        <fgColor rgb="FF6C757D"/>
        <bgColor indexed="64"/>
      </patternFill>
    </fill>
    <fill>
      <patternFill patternType="solid">
        <fgColor rgb="FF007BFF"/>
        <bgColor indexed="64"/>
      </patternFill>
    </fill>
    <fill>
      <patternFill patternType="solid">
        <fgColor rgb="FF6F42C1"/>
        <bgColor indexed="64"/>
      </patternFill>
    </fill>
    <fill>
      <patternFill patternType="solid">
        <fgColor rgb="FFFFFFCC"/>
        <bgColor indexed="64"/>
      </patternFill>
    </fill>
    <fill>
      <patternFill patternType="solid">
        <fgColor rgb="FF28A745"/>
        <bgColor indexed="64"/>
      </patternFill>
    </fill>
    <fill>
      <patternFill patternType="solid">
        <fgColor rgb="FF343A40"/>
        <bgColor indexed="64"/>
      </patternFill>
    </fill>
    <fill>
      <patternFill patternType="solid">
        <fgColor rgb="FF000000"/>
        <bgColor indexed="64"/>
      </patternFill>
    </fill>
    <fill>
      <patternFill patternType="solid">
        <fgColor rgb="FF081B29"/>
        <bgColor indexed="64"/>
      </patternFill>
    </fill>
    <fill>
      <patternFill patternType="solid">
        <fgColor rgb="FF1F4E78"/>
        <bgColor indexed="64"/>
      </patternFill>
    </fill>
    <fill>
      <patternFill patternType="solid">
        <fgColor rgb="FF323232"/>
        <bgColor indexed="64"/>
      </patternFill>
    </fill>
    <fill>
      <patternFill patternType="solid">
        <fgColor rgb="FF4472C4"/>
        <bgColor indexed="64"/>
      </patternFill>
    </fill>
    <fill>
      <patternFill patternType="solid">
        <fgColor rgb="FFF0F0F0"/>
        <bgColor indexed="64"/>
      </patternFill>
    </fill>
    <fill>
      <patternFill patternType="solid">
        <fgColor rgb="FFF8F8F8"/>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rgb="FFB3B3B3"/>
      </right>
      <top/>
      <bottom style="medium">
        <color rgb="FFB3B3B3"/>
      </bottom>
      <diagonal/>
    </border>
    <border>
      <left/>
      <right/>
      <top/>
      <bottom style="medium">
        <color rgb="FFB3B3B3"/>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indexed="64"/>
      </left>
      <right/>
      <top/>
      <bottom style="thin">
        <color indexed="64"/>
      </bottom>
      <diagonal/>
    </border>
    <border>
      <left style="thin">
        <color rgb="FFC8C8C8"/>
      </left>
      <right style="thin">
        <color rgb="FFC8C8C8"/>
      </right>
      <top style="thin">
        <color rgb="FFC8C8C8"/>
      </top>
      <bottom style="thin">
        <color rgb="FFC8C8C8"/>
      </bottom>
      <diagonal/>
    </border>
    <border>
      <left style="medium">
        <color rgb="FF646464"/>
      </left>
      <right style="medium">
        <color rgb="FF646464"/>
      </right>
      <top style="medium">
        <color rgb="FF646464"/>
      </top>
      <bottom style="medium">
        <color rgb="FF646464"/>
      </bottom>
      <diagonal/>
    </border>
  </borders>
  <cellStyleXfs count="5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3" applyNumberFormat="0" applyAlignment="0" applyProtection="0"/>
    <xf numFmtId="0" fontId="5" fillId="28" borderId="4" applyNumberFormat="0" applyAlignment="0" applyProtection="0"/>
    <xf numFmtId="164" fontId="1" fillId="0" borderId="0" applyFont="0" applyFill="0" applyBorder="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5" applyNumberFormat="0" applyFill="0" applyAlignment="0" applyProtection="0"/>
    <xf numFmtId="0" fontId="9" fillId="0" borderId="6" applyNumberFormat="0" applyFill="0" applyAlignment="0" applyProtection="0"/>
    <xf numFmtId="0" fontId="10" fillId="0" borderId="7" applyNumberFormat="0" applyFill="0" applyAlignment="0" applyProtection="0"/>
    <xf numFmtId="0" fontId="10" fillId="0" borderId="0" applyNumberFormat="0" applyFill="0" applyBorder="0" applyAlignment="0" applyProtection="0"/>
    <xf numFmtId="0" fontId="11" fillId="30" borderId="3" applyNumberFormat="0" applyAlignment="0" applyProtection="0"/>
    <xf numFmtId="0" fontId="12" fillId="0" borderId="8" applyNumberFormat="0" applyFill="0" applyAlignment="0" applyProtection="0"/>
    <xf numFmtId="0" fontId="13" fillId="31" borderId="0" applyNumberFormat="0" applyBorder="0" applyAlignment="0" applyProtection="0"/>
    <xf numFmtId="0" fontId="1" fillId="32" borderId="9" applyNumberFormat="0" applyFont="0" applyAlignment="0" applyProtection="0"/>
    <xf numFmtId="0" fontId="14" fillId="27" borderId="10" applyNumberFormat="0" applyAlignment="0" applyProtection="0"/>
    <xf numFmtId="9" fontId="1" fillId="0" borderId="0" applyFont="0" applyFill="0" applyBorder="0" applyAlignment="0" applyProtection="0"/>
    <xf numFmtId="0" fontId="15" fillId="0" borderId="0" applyNumberFormat="0" applyFill="0" applyBorder="0" applyAlignment="0" applyProtection="0"/>
    <xf numFmtId="0" fontId="16" fillId="0" borderId="11" applyNumberFormat="0" applyFill="0" applyAlignment="0" applyProtection="0"/>
    <xf numFmtId="0" fontId="17" fillId="0" borderId="0" applyNumberFormat="0" applyFill="0" applyBorder="0" applyAlignment="0" applyProtection="0"/>
    <xf numFmtId="0" fontId="21" fillId="0" borderId="0"/>
    <xf numFmtId="0" fontId="22" fillId="0" borderId="0"/>
    <xf numFmtId="0" fontId="21" fillId="0" borderId="0"/>
    <xf numFmtId="0" fontId="25" fillId="0" borderId="0" applyNumberFormat="0" applyFill="0" applyBorder="0" applyAlignment="0" applyProtection="0"/>
    <xf numFmtId="0" fontId="26" fillId="0" borderId="0"/>
    <xf numFmtId="0" fontId="27" fillId="0" borderId="0"/>
  </cellStyleXfs>
  <cellXfs count="364">
    <xf numFmtId="0" fontId="0" fillId="0" borderId="0" xfId="0"/>
    <xf numFmtId="0" fontId="18" fillId="0" borderId="1" xfId="0" applyFont="1" applyBorder="1" applyAlignment="1">
      <alignment horizontal="center" vertical="center"/>
    </xf>
    <xf numFmtId="0" fontId="18" fillId="0" borderId="1" xfId="0" applyFont="1" applyBorder="1" applyAlignment="1">
      <alignment horizontal="center"/>
    </xf>
    <xf numFmtId="10" fontId="18" fillId="0" borderId="1" xfId="0" applyNumberFormat="1" applyFont="1" applyBorder="1" applyAlignment="1">
      <alignment horizontal="center" vertical="center"/>
    </xf>
    <xf numFmtId="164" fontId="18" fillId="0" borderId="1" xfId="0" applyNumberFormat="1" applyFont="1" applyBorder="1" applyAlignment="1">
      <alignment vertical="center"/>
    </xf>
    <xf numFmtId="0" fontId="0" fillId="0" borderId="1" xfId="0" applyBorder="1"/>
    <xf numFmtId="0" fontId="0" fillId="0" borderId="1" xfId="0" applyBorder="1" applyAlignment="1">
      <alignment horizontal="center" vertical="center"/>
    </xf>
    <xf numFmtId="0" fontId="0" fillId="0" borderId="0" xfId="0" pivotButton="1"/>
    <xf numFmtId="0" fontId="0" fillId="0" borderId="0" xfId="0" applyAlignment="1">
      <alignment wrapText="1"/>
    </xf>
    <xf numFmtId="0" fontId="0" fillId="0" borderId="0" xfId="0" applyAlignment="1" applyProtection="1">
      <alignment horizontal="center" vertical="center"/>
      <protection hidden="1"/>
    </xf>
    <xf numFmtId="0" fontId="0" fillId="0" borderId="0" xfId="0" applyAlignment="1" applyProtection="1">
      <alignment vertical="center"/>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164" fontId="1" fillId="0" borderId="0" xfId="28" applyFont="1" applyAlignment="1" applyProtection="1">
      <alignment vertical="center"/>
      <protection locked="0"/>
    </xf>
    <xf numFmtId="0" fontId="18" fillId="0" borderId="0" xfId="0" applyFont="1" applyAlignment="1" applyProtection="1">
      <alignment horizontal="center" vertical="center"/>
      <protection locked="0"/>
    </xf>
    <xf numFmtId="2" fontId="0" fillId="0" borderId="0" xfId="0" applyNumberFormat="1" applyAlignment="1" applyProtection="1">
      <alignment horizontal="center" vertical="center"/>
      <protection locked="0"/>
    </xf>
    <xf numFmtId="43" fontId="0" fillId="0" borderId="0" xfId="0" applyNumberFormat="1" applyAlignment="1" applyProtection="1">
      <alignment vertical="center"/>
      <protection locked="0"/>
    </xf>
    <xf numFmtId="14" fontId="0" fillId="0" borderId="1" xfId="0" applyNumberFormat="1" applyBorder="1" applyAlignment="1">
      <alignment horizontal="center" vertical="center"/>
    </xf>
    <xf numFmtId="164" fontId="18" fillId="0" borderId="1" xfId="28" applyFont="1" applyBorder="1" applyAlignment="1">
      <alignment vertical="center"/>
    </xf>
    <xf numFmtId="164" fontId="0" fillId="0" borderId="1" xfId="28" applyFont="1" applyBorder="1" applyAlignment="1">
      <alignment vertical="center"/>
    </xf>
    <xf numFmtId="164" fontId="0" fillId="0" borderId="1" xfId="28" applyFont="1" applyBorder="1" applyAlignment="1">
      <alignment horizontal="center" vertical="center"/>
    </xf>
    <xf numFmtId="0" fontId="18" fillId="0" borderId="1" xfId="0" applyFont="1" applyBorder="1"/>
    <xf numFmtId="0" fontId="16" fillId="0" borderId="0" xfId="0" applyFont="1"/>
    <xf numFmtId="164" fontId="0" fillId="0" borderId="0" xfId="28" applyFont="1"/>
    <xf numFmtId="4" fontId="0" fillId="0" borderId="0" xfId="0" applyNumberFormat="1"/>
    <xf numFmtId="0" fontId="16" fillId="0" borderId="0" xfId="0" applyFont="1" applyAlignment="1">
      <alignment horizontal="center" vertical="center" wrapText="1"/>
    </xf>
    <xf numFmtId="0" fontId="23" fillId="0" borderId="0" xfId="0" applyFont="1"/>
    <xf numFmtId="0" fontId="23" fillId="0" borderId="1" xfId="0" applyFont="1" applyBorder="1" applyAlignment="1">
      <alignment horizontal="center" vertical="center" wrapText="1"/>
    </xf>
    <xf numFmtId="0" fontId="23" fillId="0" borderId="1" xfId="0" applyFont="1" applyBorder="1"/>
    <xf numFmtId="165" fontId="23" fillId="0" borderId="0" xfId="0" applyNumberFormat="1" applyFont="1"/>
    <xf numFmtId="0" fontId="0" fillId="0" borderId="1" xfId="0" applyBorder="1" applyAlignment="1">
      <alignment horizontal="center"/>
    </xf>
    <xf numFmtId="164" fontId="18" fillId="0" borderId="1" xfId="28" applyFont="1" applyBorder="1"/>
    <xf numFmtId="164" fontId="18" fillId="0" borderId="1" xfId="28" applyFont="1" applyFill="1" applyBorder="1"/>
    <xf numFmtId="0" fontId="18" fillId="0" borderId="0" xfId="0" applyFont="1"/>
    <xf numFmtId="0" fontId="18" fillId="0" borderId="12" xfId="0" applyFont="1" applyBorder="1" applyAlignment="1">
      <alignment horizontal="center"/>
    </xf>
    <xf numFmtId="0" fontId="18" fillId="0" borderId="12" xfId="0" applyFont="1" applyBorder="1"/>
    <xf numFmtId="14" fontId="18" fillId="0" borderId="12" xfId="0" applyNumberFormat="1" applyFont="1" applyBorder="1"/>
    <xf numFmtId="0" fontId="18" fillId="0" borderId="1" xfId="23" applyFont="1" applyFill="1" applyBorder="1" applyAlignment="1">
      <alignment horizontal="center"/>
    </xf>
    <xf numFmtId="0" fontId="18" fillId="0" borderId="1" xfId="23" applyFont="1" applyFill="1" applyBorder="1"/>
    <xf numFmtId="14" fontId="18" fillId="0" borderId="1" xfId="23" applyNumberFormat="1" applyFont="1" applyFill="1" applyBorder="1"/>
    <xf numFmtId="9" fontId="18" fillId="0" borderId="1" xfId="23" applyNumberFormat="1" applyFont="1" applyFill="1" applyBorder="1" applyAlignment="1">
      <alignment horizontal="center"/>
    </xf>
    <xf numFmtId="164" fontId="18" fillId="0" borderId="1" xfId="23" applyNumberFormat="1" applyFont="1" applyFill="1" applyBorder="1" applyAlignment="1">
      <alignment horizontal="right"/>
    </xf>
    <xf numFmtId="164" fontId="18" fillId="0" borderId="1" xfId="23" applyNumberFormat="1" applyFont="1" applyFill="1" applyBorder="1"/>
    <xf numFmtId="10" fontId="18" fillId="0" borderId="1" xfId="23" applyNumberFormat="1" applyFont="1" applyFill="1" applyBorder="1"/>
    <xf numFmtId="165" fontId="18" fillId="0" borderId="1" xfId="23" applyNumberFormat="1" applyFont="1" applyFill="1" applyBorder="1"/>
    <xf numFmtId="164" fontId="19" fillId="0" borderId="1" xfId="23" applyNumberFormat="1" applyFont="1" applyFill="1" applyBorder="1"/>
    <xf numFmtId="1" fontId="18" fillId="0" borderId="1" xfId="23" applyNumberFormat="1" applyFont="1" applyFill="1" applyBorder="1" applyAlignment="1">
      <alignment horizontal="center"/>
    </xf>
    <xf numFmtId="164" fontId="18" fillId="0" borderId="1" xfId="23" applyNumberFormat="1" applyFont="1" applyFill="1" applyBorder="1" applyAlignment="1">
      <alignment vertical="center"/>
    </xf>
    <xf numFmtId="43" fontId="18" fillId="0" borderId="0" xfId="0" applyNumberFormat="1" applyFont="1"/>
    <xf numFmtId="0" fontId="0" fillId="0" borderId="12" xfId="0" applyBorder="1" applyAlignment="1">
      <alignment horizontal="center"/>
    </xf>
    <xf numFmtId="164" fontId="16" fillId="0" borderId="0" xfId="28" applyFont="1"/>
    <xf numFmtId="0" fontId="18" fillId="0" borderId="2" xfId="0" applyFont="1" applyBorder="1" applyAlignment="1">
      <alignment horizontal="center" vertical="center"/>
    </xf>
    <xf numFmtId="167" fontId="24" fillId="0" borderId="1" xfId="28" applyNumberFormat="1" applyFont="1" applyBorder="1"/>
    <xf numFmtId="167" fontId="23" fillId="0" borderId="1" xfId="28" applyNumberFormat="1" applyFont="1" applyBorder="1"/>
    <xf numFmtId="0" fontId="0" fillId="0" borderId="1" xfId="0" applyBorder="1" applyAlignment="1">
      <alignment vertical="top"/>
    </xf>
    <xf numFmtId="167" fontId="0" fillId="0" borderId="0" xfId="0" applyNumberFormat="1"/>
    <xf numFmtId="43" fontId="18" fillId="0" borderId="1" xfId="23" applyNumberFormat="1" applyFont="1" applyFill="1" applyBorder="1"/>
    <xf numFmtId="4" fontId="18" fillId="0" borderId="1" xfId="0" applyNumberFormat="1" applyFont="1" applyBorder="1"/>
    <xf numFmtId="0" fontId="18" fillId="0" borderId="1" xfId="23" applyNumberFormat="1" applyFont="1" applyFill="1" applyBorder="1"/>
    <xf numFmtId="9" fontId="19" fillId="0" borderId="1" xfId="40" applyFont="1" applyFill="1" applyBorder="1"/>
    <xf numFmtId="14" fontId="19" fillId="0" borderId="1" xfId="23" applyNumberFormat="1" applyFont="1" applyFill="1" applyBorder="1"/>
    <xf numFmtId="1" fontId="18" fillId="0" borderId="1" xfId="0" applyNumberFormat="1" applyFont="1" applyBorder="1" applyAlignment="1">
      <alignment vertical="center"/>
    </xf>
    <xf numFmtId="164" fontId="18" fillId="0" borderId="1" xfId="28" applyFont="1" applyFill="1" applyBorder="1" applyAlignment="1">
      <alignment vertical="center"/>
    </xf>
    <xf numFmtId="2" fontId="0" fillId="0" borderId="1" xfId="0" applyNumberFormat="1" applyBorder="1"/>
    <xf numFmtId="0" fontId="28" fillId="34" borderId="17" xfId="0" applyFont="1" applyFill="1" applyBorder="1" applyAlignment="1">
      <alignment horizontal="left" vertical="center"/>
    </xf>
    <xf numFmtId="0" fontId="28" fillId="34" borderId="17" xfId="0" applyFont="1" applyFill="1" applyBorder="1" applyAlignment="1">
      <alignment horizontal="center" vertical="center"/>
    </xf>
    <xf numFmtId="0" fontId="28" fillId="34" borderId="17" xfId="0" applyFont="1" applyFill="1" applyBorder="1" applyAlignment="1">
      <alignment horizontal="right" vertical="center"/>
    </xf>
    <xf numFmtId="0" fontId="28" fillId="34" borderId="18" xfId="0" applyFont="1" applyFill="1" applyBorder="1" applyAlignment="1">
      <alignment horizontal="right" vertical="center"/>
    </xf>
    <xf numFmtId="0" fontId="29" fillId="37" borderId="17" xfId="0" applyFont="1" applyFill="1" applyBorder="1" applyAlignment="1">
      <alignment horizontal="left" vertical="center" wrapText="1"/>
    </xf>
    <xf numFmtId="0" fontId="29" fillId="37" borderId="17" xfId="0" applyFont="1" applyFill="1" applyBorder="1" applyAlignment="1">
      <alignment horizontal="center" vertical="center" wrapText="1"/>
    </xf>
    <xf numFmtId="4" fontId="29" fillId="37" borderId="17" xfId="0" applyNumberFormat="1" applyFont="1" applyFill="1" applyBorder="1" applyAlignment="1">
      <alignment horizontal="right" vertical="center" wrapText="1"/>
    </xf>
    <xf numFmtId="4" fontId="29" fillId="37" borderId="18" xfId="0" applyNumberFormat="1" applyFont="1" applyFill="1" applyBorder="1" applyAlignment="1">
      <alignment horizontal="right" vertical="center" wrapText="1"/>
    </xf>
    <xf numFmtId="0" fontId="29" fillId="38" borderId="17" xfId="0" applyFont="1" applyFill="1" applyBorder="1" applyAlignment="1">
      <alignment horizontal="left" vertical="center" wrapText="1"/>
    </xf>
    <xf numFmtId="0" fontId="29" fillId="38" borderId="17" xfId="0" applyFont="1" applyFill="1" applyBorder="1" applyAlignment="1">
      <alignment horizontal="center" vertical="center" wrapText="1"/>
    </xf>
    <xf numFmtId="4" fontId="29" fillId="38" borderId="17" xfId="0" applyNumberFormat="1" applyFont="1" applyFill="1" applyBorder="1" applyAlignment="1">
      <alignment horizontal="right" vertical="center" wrapText="1"/>
    </xf>
    <xf numFmtId="4" fontId="29" fillId="38" borderId="18" xfId="0" applyNumberFormat="1" applyFont="1" applyFill="1" applyBorder="1" applyAlignment="1">
      <alignment horizontal="right" vertical="center" wrapText="1"/>
    </xf>
    <xf numFmtId="168" fontId="0" fillId="0" borderId="0" xfId="0" applyNumberFormat="1"/>
    <xf numFmtId="4" fontId="21" fillId="0" borderId="0" xfId="0" applyNumberFormat="1" applyFont="1" applyAlignment="1">
      <alignment horizontal="left"/>
    </xf>
    <xf numFmtId="4" fontId="30" fillId="0" borderId="0" xfId="0" applyNumberFormat="1" applyFont="1" applyAlignment="1">
      <alignment wrapText="1"/>
    </xf>
    <xf numFmtId="4" fontId="31" fillId="0" borderId="0" xfId="0" applyNumberFormat="1" applyFont="1" applyAlignment="1">
      <alignment horizontal="left"/>
    </xf>
    <xf numFmtId="4" fontId="32" fillId="0" borderId="0" xfId="0" applyNumberFormat="1" applyFont="1"/>
    <xf numFmtId="0" fontId="0" fillId="0" borderId="0" xfId="0" applyAlignment="1">
      <alignment vertical="center" wrapText="1"/>
    </xf>
    <xf numFmtId="0" fontId="29" fillId="0" borderId="0" xfId="0" applyFont="1" applyAlignment="1">
      <alignment vertical="center" wrapText="1"/>
    </xf>
    <xf numFmtId="0" fontId="0" fillId="0" borderId="12" xfId="0" applyBorder="1" applyAlignment="1">
      <alignment horizontal="center" vertical="center"/>
    </xf>
    <xf numFmtId="164" fontId="18" fillId="0" borderId="13" xfId="28" applyFont="1" applyBorder="1" applyAlignment="1">
      <alignment vertical="center"/>
    </xf>
    <xf numFmtId="164" fontId="18" fillId="0" borderId="13" xfId="0" applyNumberFormat="1" applyFont="1" applyBorder="1" applyAlignment="1">
      <alignment vertical="center"/>
    </xf>
    <xf numFmtId="14" fontId="0" fillId="0" borderId="12" xfId="0" applyNumberFormat="1" applyBorder="1" applyAlignment="1">
      <alignment horizontal="center" vertical="center"/>
    </xf>
    <xf numFmtId="164" fontId="0" fillId="0" borderId="12" xfId="28" applyFont="1" applyBorder="1" applyAlignment="1">
      <alignment vertical="center"/>
    </xf>
    <xf numFmtId="164" fontId="0" fillId="0" borderId="12" xfId="28" applyFont="1" applyBorder="1" applyAlignment="1">
      <alignment horizontal="center" vertical="center"/>
    </xf>
    <xf numFmtId="4" fontId="0" fillId="0" borderId="1" xfId="0" applyNumberFormat="1" applyBorder="1" applyAlignment="1">
      <alignment horizontal="right" vertical="top"/>
    </xf>
    <xf numFmtId="0" fontId="0" fillId="0" borderId="12" xfId="0" applyBorder="1" applyAlignment="1">
      <alignment vertical="top"/>
    </xf>
    <xf numFmtId="4" fontId="0" fillId="0" borderId="12" xfId="0" applyNumberFormat="1" applyBorder="1" applyAlignment="1">
      <alignment horizontal="right" vertical="top"/>
    </xf>
    <xf numFmtId="10" fontId="18" fillId="0" borderId="12" xfId="0" applyNumberFormat="1" applyFont="1" applyBorder="1" applyAlignment="1">
      <alignment horizontal="center" vertical="center"/>
    </xf>
    <xf numFmtId="164" fontId="18" fillId="0" borderId="12" xfId="0" applyNumberFormat="1" applyFont="1" applyBorder="1" applyAlignment="1">
      <alignment vertical="center"/>
    </xf>
    <xf numFmtId="164" fontId="0" fillId="0" borderId="1" xfId="28" applyFont="1" applyFill="1" applyBorder="1" applyAlignment="1">
      <alignment vertical="center"/>
    </xf>
    <xf numFmtId="0" fontId="0" fillId="0" borderId="0" xfId="0" applyAlignment="1">
      <alignment horizontal="left"/>
    </xf>
    <xf numFmtId="4" fontId="29" fillId="0" borderId="0" xfId="0" applyNumberFormat="1" applyFont="1"/>
    <xf numFmtId="169" fontId="0" fillId="0" borderId="0" xfId="0" applyNumberFormat="1"/>
    <xf numFmtId="0" fontId="23" fillId="0" borderId="16" xfId="0" applyFont="1" applyBorder="1"/>
    <xf numFmtId="168" fontId="24" fillId="0" borderId="19" xfId="0" applyNumberFormat="1" applyFont="1" applyBorder="1"/>
    <xf numFmtId="168" fontId="24" fillId="0" borderId="20" xfId="0" applyNumberFormat="1" applyFont="1" applyBorder="1"/>
    <xf numFmtId="168" fontId="24" fillId="0" borderId="21" xfId="28" applyNumberFormat="1" applyFont="1" applyBorder="1"/>
    <xf numFmtId="0" fontId="33" fillId="0" borderId="0" xfId="0" applyFont="1"/>
    <xf numFmtId="0" fontId="35" fillId="37" borderId="17" xfId="0" applyFont="1" applyFill="1" applyBorder="1" applyAlignment="1">
      <alignment horizontal="left" vertical="center" wrapText="1"/>
    </xf>
    <xf numFmtId="0" fontId="35" fillId="37" borderId="17" xfId="0" applyFont="1" applyFill="1" applyBorder="1" applyAlignment="1">
      <alignment horizontal="center" vertical="center" wrapText="1"/>
    </xf>
    <xf numFmtId="4" fontId="35" fillId="37" borderId="17" xfId="0" applyNumberFormat="1" applyFont="1" applyFill="1" applyBorder="1" applyAlignment="1">
      <alignment horizontal="right" vertical="center" wrapText="1"/>
    </xf>
    <xf numFmtId="4" fontId="35" fillId="37" borderId="18" xfId="0" applyNumberFormat="1" applyFont="1" applyFill="1" applyBorder="1" applyAlignment="1">
      <alignment horizontal="right" vertical="center" wrapText="1"/>
    </xf>
    <xf numFmtId="0" fontId="36" fillId="34" borderId="17" xfId="0" applyFont="1" applyFill="1" applyBorder="1" applyAlignment="1">
      <alignment horizontal="left" vertical="center"/>
    </xf>
    <xf numFmtId="0" fontId="36" fillId="34" borderId="17" xfId="0" applyFont="1" applyFill="1" applyBorder="1" applyAlignment="1">
      <alignment horizontal="center" vertical="center"/>
    </xf>
    <xf numFmtId="0" fontId="36" fillId="34" borderId="17" xfId="0" applyFont="1" applyFill="1" applyBorder="1" applyAlignment="1">
      <alignment horizontal="right" vertical="center"/>
    </xf>
    <xf numFmtId="0" fontId="36" fillId="34" borderId="18" xfId="0" applyFont="1" applyFill="1" applyBorder="1" applyAlignment="1">
      <alignment horizontal="right" vertical="center"/>
    </xf>
    <xf numFmtId="0" fontId="28" fillId="0" borderId="17" xfId="0" applyFont="1" applyBorder="1" applyAlignment="1">
      <alignment horizontal="left" vertical="center" wrapText="1"/>
    </xf>
    <xf numFmtId="0" fontId="28" fillId="0" borderId="17" xfId="0" applyFont="1" applyBorder="1" applyAlignment="1">
      <alignment horizontal="center" vertical="center" wrapText="1"/>
    </xf>
    <xf numFmtId="4" fontId="28" fillId="0" borderId="17" xfId="0" applyNumberFormat="1" applyFont="1" applyBorder="1" applyAlignment="1">
      <alignment horizontal="right" vertical="center" wrapText="1"/>
    </xf>
    <xf numFmtId="4" fontId="28" fillId="0" borderId="18" xfId="0" applyNumberFormat="1" applyFont="1" applyBorder="1" applyAlignment="1">
      <alignment horizontal="right" vertical="center" wrapText="1"/>
    </xf>
    <xf numFmtId="0" fontId="28" fillId="38" borderId="17" xfId="0" applyFont="1" applyFill="1" applyBorder="1" applyAlignment="1">
      <alignment horizontal="left" vertical="center" wrapText="1"/>
    </xf>
    <xf numFmtId="0" fontId="28" fillId="38" borderId="17" xfId="0" applyFont="1" applyFill="1" applyBorder="1" applyAlignment="1">
      <alignment horizontal="center" vertical="center" wrapText="1"/>
    </xf>
    <xf numFmtId="4" fontId="28" fillId="38" borderId="17" xfId="0" applyNumberFormat="1" applyFont="1" applyFill="1" applyBorder="1" applyAlignment="1">
      <alignment horizontal="right" vertical="center" wrapText="1"/>
    </xf>
    <xf numFmtId="4" fontId="28" fillId="38" borderId="18" xfId="0" applyNumberFormat="1" applyFont="1" applyFill="1" applyBorder="1" applyAlignment="1">
      <alignment horizontal="right" vertical="center" wrapText="1"/>
    </xf>
    <xf numFmtId="0" fontId="28" fillId="38" borderId="17" xfId="0" applyFont="1" applyFill="1" applyBorder="1" applyAlignment="1">
      <alignment horizontal="right" vertical="center" wrapText="1"/>
    </xf>
    <xf numFmtId="0" fontId="28" fillId="38" borderId="18" xfId="0" applyFont="1" applyFill="1" applyBorder="1" applyAlignment="1">
      <alignment horizontal="right" vertical="center" wrapText="1"/>
    </xf>
    <xf numFmtId="0" fontId="28" fillId="0" borderId="18" xfId="0" applyFont="1" applyBorder="1" applyAlignment="1">
      <alignment horizontal="right" vertical="center" wrapText="1"/>
    </xf>
    <xf numFmtId="0" fontId="28" fillId="0" borderId="17" xfId="0" applyFont="1" applyBorder="1" applyAlignment="1">
      <alignment horizontal="right" vertical="center" wrapText="1"/>
    </xf>
    <xf numFmtId="0" fontId="29" fillId="38" borderId="17" xfId="0" applyFont="1" applyFill="1" applyBorder="1" applyAlignment="1">
      <alignment horizontal="right" vertical="center" wrapText="1"/>
    </xf>
    <xf numFmtId="0" fontId="29" fillId="38" borderId="18" xfId="0" applyFont="1" applyFill="1" applyBorder="1" applyAlignment="1">
      <alignment horizontal="right" vertical="center" wrapText="1"/>
    </xf>
    <xf numFmtId="0" fontId="29" fillId="37" borderId="18" xfId="0" applyFont="1" applyFill="1" applyBorder="1" applyAlignment="1">
      <alignment horizontal="right" vertical="center" wrapText="1"/>
    </xf>
    <xf numFmtId="0" fontId="29" fillId="37" borderId="17" xfId="0" applyFont="1" applyFill="1" applyBorder="1" applyAlignment="1">
      <alignment horizontal="right" vertical="center" wrapText="1"/>
    </xf>
    <xf numFmtId="0" fontId="37" fillId="34" borderId="17" xfId="0" applyFont="1" applyFill="1" applyBorder="1" applyAlignment="1">
      <alignment horizontal="left" vertical="center"/>
    </xf>
    <xf numFmtId="0" fontId="37" fillId="34" borderId="17" xfId="0" applyFont="1" applyFill="1" applyBorder="1" applyAlignment="1">
      <alignment horizontal="center" vertical="center"/>
    </xf>
    <xf numFmtId="0" fontId="37" fillId="34" borderId="17" xfId="0" applyFont="1" applyFill="1" applyBorder="1" applyAlignment="1">
      <alignment horizontal="right" vertical="center"/>
    </xf>
    <xf numFmtId="0" fontId="37" fillId="34" borderId="18" xfId="0" applyFont="1" applyFill="1" applyBorder="1" applyAlignment="1">
      <alignment horizontal="right" vertical="center"/>
    </xf>
    <xf numFmtId="4" fontId="29" fillId="36" borderId="18" xfId="0" applyNumberFormat="1" applyFont="1" applyFill="1" applyBorder="1" applyAlignment="1">
      <alignment horizontal="right" vertical="center" wrapText="1"/>
    </xf>
    <xf numFmtId="0" fontId="38" fillId="34" borderId="17" xfId="0" applyFont="1" applyFill="1" applyBorder="1" applyAlignment="1">
      <alignment horizontal="left" vertical="center"/>
    </xf>
    <xf numFmtId="0" fontId="38" fillId="34" borderId="17" xfId="0" applyFont="1" applyFill="1" applyBorder="1" applyAlignment="1">
      <alignment horizontal="center" vertical="center"/>
    </xf>
    <xf numFmtId="0" fontId="38" fillId="34" borderId="17" xfId="0" applyFont="1" applyFill="1" applyBorder="1" applyAlignment="1">
      <alignment horizontal="right" vertical="center"/>
    </xf>
    <xf numFmtId="0" fontId="38" fillId="34" borderId="18" xfId="0" applyFont="1" applyFill="1" applyBorder="1" applyAlignment="1">
      <alignment horizontal="right" vertical="center"/>
    </xf>
    <xf numFmtId="0" fontId="28" fillId="0" borderId="1" xfId="0" applyFont="1" applyBorder="1" applyAlignment="1">
      <alignment horizontal="left" vertical="center" wrapText="1"/>
    </xf>
    <xf numFmtId="0" fontId="28" fillId="0" borderId="1" xfId="0" applyFont="1" applyBorder="1" applyAlignment="1">
      <alignment horizontal="center" vertical="center" wrapText="1"/>
    </xf>
    <xf numFmtId="4" fontId="28" fillId="0" borderId="1" xfId="0" applyNumberFormat="1" applyFont="1" applyBorder="1" applyAlignment="1">
      <alignment horizontal="right" vertical="center" wrapText="1"/>
    </xf>
    <xf numFmtId="0" fontId="28" fillId="38" borderId="1" xfId="0" applyFont="1" applyFill="1" applyBorder="1" applyAlignment="1">
      <alignment horizontal="left" vertical="center" wrapText="1"/>
    </xf>
    <xf numFmtId="0" fontId="28" fillId="38" borderId="1" xfId="0" applyFont="1" applyFill="1" applyBorder="1" applyAlignment="1">
      <alignment horizontal="center" vertical="center" wrapText="1"/>
    </xf>
    <xf numFmtId="0" fontId="28" fillId="38" borderId="1" xfId="0" applyFont="1" applyFill="1" applyBorder="1" applyAlignment="1">
      <alignment horizontal="right" vertical="center" wrapText="1"/>
    </xf>
    <xf numFmtId="4" fontId="28" fillId="38" borderId="1" xfId="0" applyNumberFormat="1" applyFont="1" applyFill="1" applyBorder="1" applyAlignment="1">
      <alignment horizontal="right" vertical="center" wrapText="1"/>
    </xf>
    <xf numFmtId="0" fontId="39" fillId="34" borderId="1" xfId="0" applyFont="1" applyFill="1" applyBorder="1" applyAlignment="1">
      <alignment horizontal="center" vertical="center" wrapText="1"/>
    </xf>
    <xf numFmtId="1" fontId="0" fillId="0" borderId="0" xfId="0" applyNumberFormat="1" applyAlignment="1" applyProtection="1">
      <alignment vertical="center"/>
      <protection locked="0"/>
    </xf>
    <xf numFmtId="1" fontId="18" fillId="0" borderId="1" xfId="28" applyNumberFormat="1" applyFont="1" applyBorder="1" applyAlignment="1">
      <alignment horizontal="center" vertical="center"/>
    </xf>
    <xf numFmtId="170" fontId="0" fillId="0" borderId="1" xfId="0" applyNumberFormat="1" applyBorder="1" applyAlignment="1">
      <alignment vertical="top"/>
    </xf>
    <xf numFmtId="170" fontId="0" fillId="0" borderId="2" xfId="0" applyNumberFormat="1" applyBorder="1" applyAlignment="1">
      <alignment horizontal="right" vertical="top"/>
    </xf>
    <xf numFmtId="170" fontId="0" fillId="0" borderId="1" xfId="0" applyNumberFormat="1" applyBorder="1" applyAlignment="1">
      <alignment horizontal="right" vertical="top"/>
    </xf>
    <xf numFmtId="170" fontId="18" fillId="0" borderId="1" xfId="0" applyNumberFormat="1" applyFont="1" applyBorder="1" applyAlignment="1">
      <alignment horizontal="center" vertical="center"/>
    </xf>
    <xf numFmtId="170" fontId="0" fillId="0" borderId="1" xfId="0" applyNumberFormat="1" applyBorder="1" applyAlignment="1">
      <alignment horizontal="center"/>
    </xf>
    <xf numFmtId="170" fontId="18" fillId="0" borderId="2" xfId="0" applyNumberFormat="1" applyFont="1" applyBorder="1" applyAlignment="1">
      <alignment horizontal="center" vertical="center"/>
    </xf>
    <xf numFmtId="0" fontId="5" fillId="33" borderId="22" xfId="0" applyFont="1" applyFill="1" applyBorder="1" applyAlignment="1">
      <alignment horizontal="center" vertical="center" wrapText="1"/>
    </xf>
    <xf numFmtId="0" fontId="20" fillId="33" borderId="2" xfId="0" applyFont="1" applyFill="1" applyBorder="1" applyAlignment="1">
      <alignment horizontal="center" vertical="center" wrapText="1"/>
    </xf>
    <xf numFmtId="0" fontId="5" fillId="33" borderId="2" xfId="0" applyFont="1" applyFill="1" applyBorder="1" applyAlignment="1">
      <alignment horizontal="center" vertical="center" wrapText="1"/>
    </xf>
    <xf numFmtId="1" fontId="5" fillId="33" borderId="2" xfId="0" applyNumberFormat="1" applyFont="1" applyFill="1" applyBorder="1" applyAlignment="1">
      <alignment horizontal="center" vertical="center" wrapText="1"/>
    </xf>
    <xf numFmtId="170" fontId="0" fillId="0" borderId="12" xfId="0" applyNumberFormat="1" applyBorder="1" applyAlignment="1" applyProtection="1">
      <alignment horizontal="center" vertical="center"/>
      <protection locked="0"/>
    </xf>
    <xf numFmtId="170" fontId="0" fillId="0" borderId="12" xfId="0" applyNumberFormat="1" applyBorder="1" applyAlignment="1">
      <alignment horizontal="right" vertical="top"/>
    </xf>
    <xf numFmtId="0" fontId="18" fillId="0" borderId="23" xfId="0" applyFont="1" applyBorder="1" applyAlignment="1">
      <alignment horizontal="center" vertical="center"/>
    </xf>
    <xf numFmtId="170" fontId="0" fillId="0" borderId="12" xfId="0" applyNumberFormat="1" applyBorder="1" applyAlignment="1">
      <alignment vertical="top"/>
    </xf>
    <xf numFmtId="170" fontId="0" fillId="0" borderId="12" xfId="0" applyNumberFormat="1" applyBorder="1" applyAlignment="1">
      <alignment horizontal="center"/>
    </xf>
    <xf numFmtId="170" fontId="18" fillId="0" borderId="13" xfId="0" applyNumberFormat="1" applyFont="1" applyBorder="1" applyAlignment="1">
      <alignment horizontal="center" vertical="center"/>
    </xf>
    <xf numFmtId="1" fontId="18" fillId="0" borderId="13" xfId="28" applyNumberFormat="1" applyFont="1" applyBorder="1" applyAlignment="1">
      <alignment horizontal="center" vertical="center"/>
    </xf>
    <xf numFmtId="164" fontId="0" fillId="0" borderId="12" xfId="28" applyFont="1" applyFill="1" applyBorder="1" applyAlignment="1">
      <alignment vertical="center"/>
    </xf>
    <xf numFmtId="0" fontId="0" fillId="0" borderId="23" xfId="0" applyBorder="1" applyAlignment="1">
      <alignment horizontal="center" vertical="center"/>
    </xf>
    <xf numFmtId="2" fontId="18" fillId="0" borderId="1" xfId="0" applyNumberFormat="1" applyFont="1" applyBorder="1" applyAlignment="1">
      <alignment horizontal="center" vertical="center"/>
    </xf>
    <xf numFmtId="0" fontId="0" fillId="39" borderId="0" xfId="0" applyFill="1"/>
    <xf numFmtId="0" fontId="41" fillId="34" borderId="25" xfId="0" applyFont="1" applyFill="1" applyBorder="1" applyAlignment="1">
      <alignment vertical="center"/>
    </xf>
    <xf numFmtId="0" fontId="40" fillId="34" borderId="25" xfId="0" applyFont="1" applyFill="1" applyBorder="1" applyAlignment="1">
      <alignment vertical="center"/>
    </xf>
    <xf numFmtId="0" fontId="47" fillId="34" borderId="25" xfId="0" applyFont="1" applyFill="1" applyBorder="1" applyAlignment="1">
      <alignment vertical="center"/>
    </xf>
    <xf numFmtId="0" fontId="46" fillId="34" borderId="25" xfId="0" applyFont="1" applyFill="1" applyBorder="1" applyAlignment="1">
      <alignment vertical="center"/>
    </xf>
    <xf numFmtId="0" fontId="48" fillId="34" borderId="25" xfId="0" applyFont="1" applyFill="1" applyBorder="1" applyAlignment="1">
      <alignment vertical="center"/>
    </xf>
    <xf numFmtId="0" fontId="49" fillId="34" borderId="25" xfId="0" applyFont="1" applyFill="1" applyBorder="1" applyAlignment="1">
      <alignment vertical="center"/>
    </xf>
    <xf numFmtId="171" fontId="0" fillId="0" borderId="0" xfId="0" applyNumberFormat="1"/>
    <xf numFmtId="1" fontId="18" fillId="0" borderId="1" xfId="47" applyNumberFormat="1" applyFont="1" applyFill="1" applyBorder="1" applyAlignment="1">
      <alignment horizontal="left"/>
    </xf>
    <xf numFmtId="164" fontId="19" fillId="41" borderId="1" xfId="23" applyNumberFormat="1" applyFont="1" applyFill="1" applyBorder="1"/>
    <xf numFmtId="2" fontId="18" fillId="0" borderId="1" xfId="47" applyNumberFormat="1" applyFont="1" applyFill="1" applyBorder="1"/>
    <xf numFmtId="2" fontId="18" fillId="0" borderId="1" xfId="0" applyNumberFormat="1" applyFont="1" applyBorder="1"/>
    <xf numFmtId="164" fontId="18" fillId="0" borderId="0" xfId="28" applyFont="1"/>
    <xf numFmtId="164" fontId="18" fillId="0" borderId="0" xfId="0" applyNumberFormat="1" applyFont="1"/>
    <xf numFmtId="170" fontId="18" fillId="0" borderId="1" xfId="23" applyNumberFormat="1" applyFont="1" applyFill="1" applyBorder="1"/>
    <xf numFmtId="0" fontId="18" fillId="0" borderId="15" xfId="23" applyFont="1" applyFill="1" applyBorder="1" applyAlignment="1">
      <alignment horizontal="center"/>
    </xf>
    <xf numFmtId="166" fontId="18" fillId="0" borderId="16" xfId="0" applyNumberFormat="1" applyFont="1" applyBorder="1"/>
    <xf numFmtId="164" fontId="5" fillId="33" borderId="2" xfId="28" applyFont="1" applyFill="1" applyBorder="1" applyAlignment="1">
      <alignment horizontal="center" vertical="center" wrapText="1"/>
    </xf>
    <xf numFmtId="1" fontId="5" fillId="33" borderId="2" xfId="28" applyNumberFormat="1" applyFont="1" applyFill="1" applyBorder="1" applyAlignment="1">
      <alignment horizontal="center" vertical="center" wrapText="1"/>
    </xf>
    <xf numFmtId="164" fontId="5" fillId="33" borderId="28" xfId="28" applyFont="1" applyFill="1" applyBorder="1" applyAlignment="1">
      <alignment horizontal="center" vertical="center" wrapText="1"/>
    </xf>
    <xf numFmtId="0" fontId="19" fillId="0" borderId="14" xfId="23" applyFont="1" applyFill="1" applyBorder="1" applyAlignment="1">
      <alignment horizontal="center"/>
    </xf>
    <xf numFmtId="0" fontId="18" fillId="0" borderId="12" xfId="23" applyFont="1" applyFill="1" applyBorder="1"/>
    <xf numFmtId="0" fontId="19" fillId="0" borderId="12" xfId="0" applyFont="1" applyBorder="1"/>
    <xf numFmtId="14" fontId="19" fillId="0" borderId="12" xfId="23" applyNumberFormat="1" applyFont="1" applyFill="1" applyBorder="1"/>
    <xf numFmtId="164" fontId="19" fillId="0" borderId="12" xfId="23" applyNumberFormat="1" applyFont="1" applyFill="1" applyBorder="1" applyAlignment="1">
      <alignment horizontal="right"/>
    </xf>
    <xf numFmtId="9" fontId="19" fillId="0" borderId="12" xfId="23" applyNumberFormat="1" applyFont="1" applyFill="1" applyBorder="1" applyAlignment="1">
      <alignment horizontal="center"/>
    </xf>
    <xf numFmtId="14" fontId="18" fillId="0" borderId="12" xfId="23" applyNumberFormat="1" applyFont="1" applyFill="1" applyBorder="1"/>
    <xf numFmtId="14" fontId="50" fillId="0" borderId="12" xfId="47" applyNumberFormat="1" applyFont="1" applyFill="1" applyBorder="1"/>
    <xf numFmtId="10" fontId="19" fillId="0" borderId="12" xfId="23" applyNumberFormat="1" applyFont="1" applyFill="1" applyBorder="1"/>
    <xf numFmtId="0" fontId="19" fillId="0" borderId="12" xfId="23" applyNumberFormat="1" applyFont="1" applyFill="1" applyBorder="1"/>
    <xf numFmtId="2" fontId="51" fillId="0" borderId="12" xfId="47" applyNumberFormat="1" applyFont="1" applyFill="1" applyBorder="1"/>
    <xf numFmtId="164" fontId="19" fillId="0" borderId="12" xfId="28" applyFont="1" applyFill="1" applyBorder="1"/>
    <xf numFmtId="164" fontId="16" fillId="0" borderId="12" xfId="28" applyFont="1" applyBorder="1"/>
    <xf numFmtId="1" fontId="19" fillId="0" borderId="12" xfId="23" applyNumberFormat="1" applyFont="1" applyFill="1" applyBorder="1" applyAlignment="1">
      <alignment horizontal="center"/>
    </xf>
    <xf numFmtId="164" fontId="19" fillId="0" borderId="12" xfId="23" applyNumberFormat="1" applyFont="1" applyFill="1" applyBorder="1"/>
    <xf numFmtId="164" fontId="19" fillId="0" borderId="12" xfId="23" applyNumberFormat="1" applyFont="1" applyFill="1" applyBorder="1" applyAlignment="1">
      <alignment vertical="center"/>
    </xf>
    <xf numFmtId="1" fontId="19" fillId="0" borderId="12" xfId="0" applyNumberFormat="1" applyFont="1" applyBorder="1" applyAlignment="1">
      <alignment vertical="center"/>
    </xf>
    <xf numFmtId="164" fontId="19" fillId="0" borderId="12" xfId="28" applyFont="1" applyFill="1" applyBorder="1" applyAlignment="1">
      <alignment vertical="center"/>
    </xf>
    <xf numFmtId="0" fontId="16" fillId="0" borderId="12" xfId="0" applyFont="1" applyBorder="1"/>
    <xf numFmtId="166" fontId="16" fillId="0" borderId="24" xfId="0" applyNumberFormat="1" applyFont="1" applyBorder="1"/>
    <xf numFmtId="170" fontId="18" fillId="0" borderId="12" xfId="0" applyNumberFormat="1" applyFont="1" applyBorder="1" applyAlignment="1">
      <alignment horizontal="center" vertical="center"/>
    </xf>
    <xf numFmtId="2" fontId="18" fillId="0" borderId="0" xfId="0" applyNumberFormat="1" applyFont="1" applyAlignment="1">
      <alignment horizontal="center" vertical="center"/>
    </xf>
    <xf numFmtId="170" fontId="0" fillId="0" borderId="24" xfId="0" applyNumberFormat="1" applyBorder="1" applyAlignment="1" applyProtection="1">
      <alignment horizontal="center" vertical="center"/>
      <protection locked="0"/>
    </xf>
    <xf numFmtId="0" fontId="0" fillId="0" borderId="13" xfId="0" applyBorder="1" applyAlignment="1">
      <alignment horizontal="center" vertical="center"/>
    </xf>
    <xf numFmtId="0" fontId="0" fillId="0" borderId="13" xfId="0" applyBorder="1" applyAlignment="1">
      <alignment horizontal="center"/>
    </xf>
    <xf numFmtId="0" fontId="0" fillId="0" borderId="13" xfId="0" applyBorder="1" applyAlignment="1">
      <alignment vertical="top"/>
    </xf>
    <xf numFmtId="170" fontId="0" fillId="0" borderId="13" xfId="0" applyNumberFormat="1" applyBorder="1" applyAlignment="1">
      <alignment vertical="top"/>
    </xf>
    <xf numFmtId="0" fontId="18" fillId="0" borderId="13" xfId="0" applyFont="1" applyBorder="1" applyAlignment="1">
      <alignment horizontal="center"/>
    </xf>
    <xf numFmtId="4" fontId="0" fillId="0" borderId="13" xfId="0" applyNumberFormat="1" applyBorder="1" applyAlignment="1">
      <alignment horizontal="right" vertical="top"/>
    </xf>
    <xf numFmtId="170" fontId="0" fillId="0" borderId="13" xfId="0" applyNumberFormat="1" applyBorder="1" applyAlignment="1">
      <alignment horizontal="center"/>
    </xf>
    <xf numFmtId="170" fontId="0" fillId="0" borderId="13" xfId="0" applyNumberFormat="1" applyBorder="1" applyAlignment="1">
      <alignment horizontal="right" vertical="top"/>
    </xf>
    <xf numFmtId="14" fontId="0" fillId="0" borderId="13" xfId="0" applyNumberFormat="1" applyBorder="1" applyAlignment="1">
      <alignment horizontal="center" vertical="center"/>
    </xf>
    <xf numFmtId="164" fontId="0" fillId="0" borderId="13" xfId="28" applyFont="1" applyFill="1" applyBorder="1" applyAlignment="1">
      <alignment vertical="center"/>
    </xf>
    <xf numFmtId="164" fontId="0" fillId="0" borderId="13" xfId="28" applyFont="1" applyBorder="1" applyAlignment="1">
      <alignment horizontal="center" vertical="center"/>
    </xf>
    <xf numFmtId="164" fontId="0" fillId="0" borderId="13" xfId="28" applyFont="1" applyBorder="1" applyAlignment="1">
      <alignment vertical="center"/>
    </xf>
    <xf numFmtId="2" fontId="18" fillId="0" borderId="2" xfId="0" applyNumberFormat="1" applyFont="1" applyBorder="1" applyAlignment="1">
      <alignment horizontal="center" vertical="center"/>
    </xf>
    <xf numFmtId="170" fontId="0" fillId="0" borderId="28" xfId="0" applyNumberFormat="1" applyBorder="1" applyAlignment="1" applyProtection="1">
      <alignment horizontal="center" vertical="center"/>
      <protection locked="0"/>
    </xf>
    <xf numFmtId="170" fontId="0" fillId="0" borderId="16" xfId="0" applyNumberFormat="1" applyBorder="1" applyAlignment="1" applyProtection="1">
      <alignment horizontal="center" vertical="center"/>
      <protection locked="0"/>
    </xf>
    <xf numFmtId="0" fontId="57" fillId="0" borderId="0" xfId="0" applyFont="1"/>
    <xf numFmtId="0" fontId="58" fillId="42" borderId="0" xfId="0" applyFont="1" applyFill="1" applyAlignment="1">
      <alignment horizontal="left" vertical="center" indent="1"/>
    </xf>
    <xf numFmtId="0" fontId="56" fillId="0" borderId="0" xfId="0" applyFont="1" applyAlignment="1">
      <alignment wrapText="1"/>
    </xf>
    <xf numFmtId="0" fontId="58" fillId="43" borderId="0" xfId="0" applyFont="1" applyFill="1" applyAlignment="1">
      <alignment horizontal="left" vertical="center" indent="1"/>
    </xf>
    <xf numFmtId="0" fontId="59" fillId="0" borderId="0" xfId="0" applyFont="1"/>
    <xf numFmtId="0" fontId="58" fillId="44" borderId="0" xfId="0" applyFont="1" applyFill="1" applyAlignment="1">
      <alignment horizontal="left" vertical="center" indent="1"/>
    </xf>
    <xf numFmtId="0" fontId="16" fillId="45" borderId="0" xfId="0" applyFont="1" applyFill="1"/>
    <xf numFmtId="0" fontId="58" fillId="46" borderId="0" xfId="0" applyFont="1" applyFill="1" applyAlignment="1">
      <alignment horizontal="left" vertical="center" indent="1"/>
    </xf>
    <xf numFmtId="0" fontId="50" fillId="0" borderId="0" xfId="47" applyFont="1"/>
    <xf numFmtId="0" fontId="58" fillId="47" borderId="0" xfId="0" applyFont="1" applyFill="1" applyAlignment="1">
      <alignment horizontal="left" vertical="center" indent="1"/>
    </xf>
    <xf numFmtId="0" fontId="58" fillId="48" borderId="0" xfId="0" applyFont="1" applyFill="1" applyAlignment="1">
      <alignment horizontal="left" vertical="center" indent="1"/>
    </xf>
    <xf numFmtId="0" fontId="60" fillId="0" borderId="0" xfId="0" applyFont="1"/>
    <xf numFmtId="0" fontId="61" fillId="0" borderId="0" xfId="0" applyFont="1"/>
    <xf numFmtId="0" fontId="62" fillId="0" borderId="0" xfId="0" applyFont="1"/>
    <xf numFmtId="0" fontId="63" fillId="0" borderId="0" xfId="0" applyFont="1"/>
    <xf numFmtId="0" fontId="0" fillId="49" borderId="0" xfId="0" applyFill="1"/>
    <xf numFmtId="0" fontId="42" fillId="49" borderId="25" xfId="0" applyFont="1" applyFill="1" applyBorder="1" applyAlignment="1">
      <alignment horizontal="center" vertical="center"/>
    </xf>
    <xf numFmtId="0" fontId="52" fillId="49" borderId="0" xfId="0" applyFont="1" applyFill="1"/>
    <xf numFmtId="0" fontId="53" fillId="49" borderId="0" xfId="0" applyFont="1" applyFill="1"/>
    <xf numFmtId="0" fontId="54" fillId="49" borderId="0" xfId="0" applyFont="1" applyFill="1"/>
    <xf numFmtId="0" fontId="55" fillId="49" borderId="0" xfId="0" applyFont="1" applyFill="1" applyAlignment="1">
      <alignment horizontal="right" vertical="center"/>
    </xf>
    <xf numFmtId="0" fontId="18" fillId="35" borderId="1" xfId="23" applyFont="1" applyFill="1" applyBorder="1"/>
    <xf numFmtId="0" fontId="18" fillId="0" borderId="14" xfId="23" applyFont="1" applyFill="1" applyBorder="1" applyAlignment="1">
      <alignment horizontal="center"/>
    </xf>
    <xf numFmtId="0" fontId="18" fillId="0" borderId="12" xfId="23" applyFont="1" applyFill="1" applyBorder="1" applyAlignment="1">
      <alignment horizontal="center"/>
    </xf>
    <xf numFmtId="164" fontId="18" fillId="0" borderId="12" xfId="28" applyFont="1" applyFill="1" applyBorder="1"/>
    <xf numFmtId="9" fontId="18" fillId="0" borderId="12" xfId="23" applyNumberFormat="1" applyFont="1" applyFill="1" applyBorder="1" applyAlignment="1">
      <alignment horizontal="center"/>
    </xf>
    <xf numFmtId="164" fontId="18" fillId="0" borderId="12" xfId="23" applyNumberFormat="1" applyFont="1" applyFill="1" applyBorder="1" applyAlignment="1">
      <alignment horizontal="right"/>
    </xf>
    <xf numFmtId="0" fontId="18" fillId="0" borderId="12" xfId="23" applyNumberFormat="1" applyFont="1" applyFill="1" applyBorder="1"/>
    <xf numFmtId="1" fontId="18" fillId="0" borderId="12" xfId="47" applyNumberFormat="1" applyFont="1" applyFill="1" applyBorder="1" applyAlignment="1">
      <alignment horizontal="left"/>
    </xf>
    <xf numFmtId="164" fontId="18" fillId="0" borderId="12" xfId="23" applyNumberFormat="1" applyFont="1" applyFill="1" applyBorder="1"/>
    <xf numFmtId="10" fontId="18" fillId="0" borderId="12" xfId="23" applyNumberFormat="1" applyFont="1" applyFill="1" applyBorder="1"/>
    <xf numFmtId="165" fontId="18" fillId="0" borderId="12" xfId="23" applyNumberFormat="1" applyFont="1" applyFill="1" applyBorder="1"/>
    <xf numFmtId="43" fontId="18" fillId="0" borderId="12" xfId="23" applyNumberFormat="1" applyFont="1" applyFill="1" applyBorder="1"/>
    <xf numFmtId="164" fontId="19" fillId="41" borderId="12" xfId="23" applyNumberFormat="1" applyFont="1" applyFill="1" applyBorder="1"/>
    <xf numFmtId="9" fontId="19" fillId="0" borderId="12" xfId="40" applyFont="1" applyFill="1" applyBorder="1"/>
    <xf numFmtId="2" fontId="18" fillId="0" borderId="12" xfId="47" applyNumberFormat="1" applyFont="1" applyFill="1" applyBorder="1"/>
    <xf numFmtId="164" fontId="18" fillId="0" borderId="12" xfId="28" applyFont="1" applyBorder="1"/>
    <xf numFmtId="1" fontId="18" fillId="0" borderId="12" xfId="23" applyNumberFormat="1" applyFont="1" applyFill="1" applyBorder="1" applyAlignment="1">
      <alignment horizontal="center"/>
    </xf>
    <xf numFmtId="164" fontId="18" fillId="0" borderId="12" xfId="23" applyNumberFormat="1" applyFont="1" applyFill="1" applyBorder="1" applyAlignment="1">
      <alignment vertical="center"/>
    </xf>
    <xf numFmtId="1" fontId="18" fillId="0" borderId="12" xfId="0" applyNumberFormat="1" applyFont="1" applyBorder="1" applyAlignment="1">
      <alignment vertical="center"/>
    </xf>
    <xf numFmtId="164" fontId="18" fillId="0" borderId="12" xfId="28" applyFont="1" applyFill="1" applyBorder="1" applyAlignment="1">
      <alignment vertical="center"/>
    </xf>
    <xf numFmtId="2" fontId="18" fillId="0" borderId="12" xfId="0" applyNumberFormat="1" applyFont="1" applyBorder="1"/>
    <xf numFmtId="166" fontId="18" fillId="0" borderId="24" xfId="0" applyNumberFormat="1" applyFont="1" applyBorder="1"/>
    <xf numFmtId="170" fontId="18" fillId="0" borderId="12" xfId="0" applyNumberFormat="1" applyFont="1" applyBorder="1" applyAlignment="1">
      <alignment horizontal="center"/>
    </xf>
    <xf numFmtId="170" fontId="18" fillId="0" borderId="13" xfId="0" applyNumberFormat="1" applyFont="1" applyBorder="1" applyAlignment="1">
      <alignment horizontal="center"/>
    </xf>
    <xf numFmtId="170" fontId="0" fillId="0" borderId="1" xfId="0" applyNumberFormat="1" applyBorder="1" applyAlignment="1" applyProtection="1">
      <alignment horizontal="center" vertical="center"/>
      <protection locked="0"/>
    </xf>
    <xf numFmtId="170" fontId="18" fillId="0" borderId="13" xfId="28" applyNumberFormat="1" applyFont="1" applyBorder="1" applyAlignment="1" applyProtection="1">
      <alignment vertical="center"/>
      <protection locked="0"/>
    </xf>
    <xf numFmtId="0" fontId="18" fillId="0" borderId="14" xfId="0" applyFont="1" applyBorder="1" applyAlignment="1">
      <alignment horizontal="center"/>
    </xf>
    <xf numFmtId="164" fontId="18" fillId="0" borderId="12" xfId="0" applyNumberFormat="1" applyFont="1" applyBorder="1"/>
    <xf numFmtId="9" fontId="18" fillId="0" borderId="12" xfId="0" applyNumberFormat="1" applyFont="1" applyBorder="1" applyAlignment="1">
      <alignment horizontal="center"/>
    </xf>
    <xf numFmtId="164" fontId="18" fillId="0" borderId="12" xfId="0" applyNumberFormat="1" applyFont="1" applyBorder="1" applyAlignment="1">
      <alignment horizontal="right"/>
    </xf>
    <xf numFmtId="1" fontId="18" fillId="0" borderId="12" xfId="0" applyNumberFormat="1" applyFont="1" applyBorder="1" applyAlignment="1">
      <alignment horizontal="left"/>
    </xf>
    <xf numFmtId="10" fontId="18" fillId="0" borderId="12" xfId="0" applyNumberFormat="1" applyFont="1" applyBorder="1"/>
    <xf numFmtId="165" fontId="18" fillId="0" borderId="12" xfId="0" applyNumberFormat="1" applyFont="1" applyBorder="1"/>
    <xf numFmtId="43" fontId="18" fillId="0" borderId="12" xfId="0" applyNumberFormat="1" applyFont="1" applyBorder="1"/>
    <xf numFmtId="164" fontId="19" fillId="41" borderId="12" xfId="0" applyNumberFormat="1" applyFont="1" applyFill="1" applyBorder="1"/>
    <xf numFmtId="9" fontId="19" fillId="0" borderId="12" xfId="0" applyNumberFormat="1" applyFont="1" applyBorder="1"/>
    <xf numFmtId="164" fontId="19" fillId="0" borderId="12" xfId="0" applyNumberFormat="1" applyFont="1" applyBorder="1"/>
    <xf numFmtId="14" fontId="19" fillId="0" borderId="12" xfId="0" applyNumberFormat="1" applyFont="1" applyBorder="1"/>
    <xf numFmtId="1" fontId="18" fillId="0" borderId="12" xfId="0" applyNumberFormat="1" applyFont="1" applyBorder="1" applyAlignment="1">
      <alignment horizontal="center"/>
    </xf>
    <xf numFmtId="0" fontId="0" fillId="0" borderId="0" xfId="0" applyAlignment="1">
      <alignment horizontal="center"/>
    </xf>
    <xf numFmtId="0" fontId="66" fillId="53" borderId="29" xfId="0" applyFont="1" applyFill="1" applyBorder="1" applyAlignment="1">
      <alignment horizontal="center" vertical="center"/>
    </xf>
    <xf numFmtId="0" fontId="67" fillId="53" borderId="29" xfId="47" applyFont="1" applyFill="1" applyBorder="1" applyAlignment="1">
      <alignment horizontal="left" vertical="center"/>
    </xf>
    <xf numFmtId="0" fontId="68" fillId="53" borderId="29" xfId="47" applyFont="1" applyFill="1" applyBorder="1" applyAlignment="1">
      <alignment horizontal="center" vertical="center"/>
    </xf>
    <xf numFmtId="0" fontId="66" fillId="54" borderId="29" xfId="0" applyFont="1" applyFill="1" applyBorder="1" applyAlignment="1">
      <alignment horizontal="center" vertical="center"/>
    </xf>
    <xf numFmtId="0" fontId="67" fillId="54" borderId="29" xfId="47" applyFont="1" applyFill="1" applyBorder="1" applyAlignment="1">
      <alignment horizontal="left" vertical="center"/>
    </xf>
    <xf numFmtId="0" fontId="68" fillId="54" borderId="29" xfId="47" applyFont="1" applyFill="1" applyBorder="1" applyAlignment="1">
      <alignment horizontal="center" vertical="center"/>
    </xf>
    <xf numFmtId="0" fontId="66" fillId="34" borderId="29" xfId="0" applyFont="1" applyFill="1" applyBorder="1" applyAlignment="1">
      <alignment horizontal="center" vertical="center"/>
    </xf>
    <xf numFmtId="0" fontId="67" fillId="34" borderId="29" xfId="47" applyFont="1" applyFill="1" applyBorder="1" applyAlignment="1">
      <alignment horizontal="left" vertical="center"/>
    </xf>
    <xf numFmtId="0" fontId="68" fillId="34" borderId="29" xfId="47" applyFont="1" applyFill="1" applyBorder="1" applyAlignment="1">
      <alignment horizontal="center" vertical="center"/>
    </xf>
    <xf numFmtId="0" fontId="58" fillId="52" borderId="30" xfId="0" applyFont="1" applyFill="1" applyBorder="1" applyAlignment="1">
      <alignment horizontal="center" vertical="center"/>
    </xf>
    <xf numFmtId="0" fontId="58" fillId="52" borderId="30" xfId="0" applyFont="1" applyFill="1" applyBorder="1" applyAlignment="1">
      <alignment horizontal="left" vertical="center"/>
    </xf>
    <xf numFmtId="0" fontId="69" fillId="0" borderId="0" xfId="0" applyFont="1"/>
    <xf numFmtId="0" fontId="70" fillId="0" borderId="0" xfId="0" applyFont="1" applyAlignment="1" applyProtection="1">
      <alignment vertical="top" wrapText="1"/>
      <protection locked="0"/>
    </xf>
    <xf numFmtId="0" fontId="18" fillId="0" borderId="23" xfId="0" applyFont="1" applyBorder="1" applyAlignment="1" applyProtection="1">
      <alignment horizontal="center" vertical="center"/>
      <protection hidden="1"/>
    </xf>
    <xf numFmtId="0" fontId="18" fillId="0" borderId="1" xfId="0" applyFont="1"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2" xfId="0" applyBorder="1" applyAlignment="1" applyProtection="1">
      <alignment vertical="top"/>
      <protection locked="0"/>
    </xf>
    <xf numFmtId="0" fontId="0" fillId="0" borderId="13" xfId="0" applyBorder="1" applyAlignment="1" applyProtection="1">
      <alignment vertical="top"/>
      <protection locked="0"/>
    </xf>
    <xf numFmtId="170" fontId="0" fillId="0" borderId="12" xfId="0" applyNumberFormat="1" applyBorder="1" applyAlignment="1" applyProtection="1">
      <alignment vertical="top"/>
      <protection locked="0"/>
    </xf>
    <xf numFmtId="170" fontId="0" fillId="0" borderId="13" xfId="0" applyNumberFormat="1" applyBorder="1" applyAlignment="1" applyProtection="1">
      <alignment vertical="top"/>
      <protection locked="0"/>
    </xf>
    <xf numFmtId="4" fontId="0" fillId="0" borderId="12" xfId="0" applyNumberFormat="1" applyBorder="1" applyAlignment="1" applyProtection="1">
      <alignment horizontal="right" vertical="top"/>
      <protection locked="0"/>
    </xf>
    <xf numFmtId="4" fontId="0" fillId="0" borderId="13" xfId="0" applyNumberFormat="1" applyBorder="1" applyAlignment="1" applyProtection="1">
      <alignment horizontal="right" vertical="top"/>
      <protection locked="0"/>
    </xf>
    <xf numFmtId="170" fontId="18" fillId="0" borderId="13" xfId="0" applyNumberFormat="1" applyFont="1" applyBorder="1" applyAlignment="1" applyProtection="1">
      <alignment horizontal="center" vertical="center"/>
      <protection locked="0"/>
    </xf>
    <xf numFmtId="170" fontId="0" fillId="0" borderId="12" xfId="0" applyNumberFormat="1" applyBorder="1" applyAlignment="1" applyProtection="1">
      <alignment horizontal="right" vertical="top"/>
      <protection locked="0"/>
    </xf>
    <xf numFmtId="170" fontId="0" fillId="0" borderId="13" xfId="0" applyNumberFormat="1" applyBorder="1" applyAlignment="1" applyProtection="1">
      <alignment horizontal="right" vertical="top"/>
      <protection locked="0"/>
    </xf>
    <xf numFmtId="170" fontId="0" fillId="0" borderId="1" xfId="0" applyNumberFormat="1" applyBorder="1" applyAlignment="1" applyProtection="1">
      <alignment horizontal="right" vertical="top"/>
      <protection locked="0"/>
    </xf>
    <xf numFmtId="170" fontId="1" fillId="0" borderId="1" xfId="28" applyNumberFormat="1" applyFont="1" applyBorder="1" applyAlignment="1" applyProtection="1">
      <alignment horizontal="center" vertical="center"/>
      <protection locked="0"/>
    </xf>
    <xf numFmtId="164" fontId="18" fillId="0" borderId="13" xfId="28" applyFont="1" applyBorder="1" applyAlignment="1" applyProtection="1">
      <alignment vertical="center"/>
      <protection locked="0"/>
    </xf>
    <xf numFmtId="1" fontId="18" fillId="0" borderId="13" xfId="28" applyNumberFormat="1" applyFont="1" applyBorder="1" applyAlignment="1" applyProtection="1">
      <alignment horizontal="center" vertical="center"/>
      <protection locked="0"/>
    </xf>
    <xf numFmtId="164" fontId="18" fillId="0" borderId="12" xfId="0" applyNumberFormat="1" applyFont="1" applyBorder="1" applyAlignment="1" applyProtection="1">
      <alignment vertical="center"/>
      <protection locked="0"/>
    </xf>
    <xf numFmtId="164" fontId="18" fillId="0" borderId="13" xfId="0" applyNumberFormat="1" applyFont="1" applyBorder="1" applyAlignment="1" applyProtection="1">
      <alignment vertical="center"/>
      <protection locked="0"/>
    </xf>
    <xf numFmtId="14"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164" fontId="0" fillId="0" borderId="1" xfId="28" applyFont="1" applyFill="1" applyBorder="1" applyAlignment="1" applyProtection="1">
      <alignment vertical="center"/>
      <protection locked="0"/>
    </xf>
    <xf numFmtId="164" fontId="0" fillId="0" borderId="1" xfId="28" applyFont="1" applyBorder="1" applyAlignment="1" applyProtection="1">
      <alignment horizontal="center" vertical="center"/>
      <protection locked="0"/>
    </xf>
    <xf numFmtId="164" fontId="0" fillId="0" borderId="1" xfId="28" applyFont="1" applyBorder="1" applyAlignment="1" applyProtection="1">
      <alignment vertical="center"/>
      <protection locked="0"/>
    </xf>
    <xf numFmtId="0" fontId="18" fillId="0" borderId="12" xfId="0" applyFont="1" applyBorder="1" applyAlignment="1" applyProtection="1">
      <alignment horizontal="center" vertical="center"/>
      <protection locked="0"/>
    </xf>
    <xf numFmtId="170" fontId="1" fillId="0" borderId="12" xfId="28" applyNumberFormat="1" applyFont="1" applyBorder="1" applyAlignment="1" applyProtection="1">
      <alignment horizontal="center" vertical="center"/>
      <protection locked="0"/>
    </xf>
    <xf numFmtId="14" fontId="0" fillId="0" borderId="12" xfId="0" applyNumberFormat="1" applyBorder="1" applyAlignment="1" applyProtection="1">
      <alignment horizontal="center" vertical="center"/>
      <protection locked="0"/>
    </xf>
    <xf numFmtId="164" fontId="0" fillId="0" borderId="12" xfId="28" applyFont="1" applyFill="1" applyBorder="1" applyAlignment="1" applyProtection="1">
      <alignment vertical="center"/>
      <protection locked="0"/>
    </xf>
    <xf numFmtId="164" fontId="0" fillId="0" borderId="12" xfId="28" applyFont="1" applyBorder="1" applyAlignment="1" applyProtection="1">
      <alignment horizontal="center" vertical="center"/>
      <protection locked="0"/>
    </xf>
    <xf numFmtId="164" fontId="0" fillId="0" borderId="12" xfId="28" applyFont="1" applyBorder="1" applyAlignment="1" applyProtection="1">
      <alignment vertical="center"/>
      <protection locked="0"/>
    </xf>
    <xf numFmtId="170" fontId="18" fillId="0" borderId="12" xfId="28" applyNumberFormat="1" applyFont="1" applyBorder="1" applyAlignment="1" applyProtection="1">
      <alignment horizontal="center" vertical="center"/>
      <protection locked="0"/>
    </xf>
    <xf numFmtId="170" fontId="18" fillId="0" borderId="13" xfId="28" applyNumberFormat="1" applyFont="1" applyBorder="1" applyAlignment="1" applyProtection="1">
      <alignment horizontal="center" vertical="center"/>
      <protection locked="0"/>
    </xf>
    <xf numFmtId="0" fontId="0" fillId="0" borderId="23" xfId="0" applyBorder="1" applyAlignment="1" applyProtection="1">
      <alignment horizontal="center" vertical="center"/>
      <protection hidden="1"/>
    </xf>
    <xf numFmtId="164" fontId="0" fillId="0" borderId="0" xfId="0" applyNumberFormat="1"/>
    <xf numFmtId="43" fontId="0" fillId="0" borderId="0" xfId="0" applyNumberFormat="1"/>
    <xf numFmtId="0" fontId="64" fillId="50" borderId="30" xfId="0" applyFont="1" applyFill="1" applyBorder="1" applyAlignment="1">
      <alignment horizontal="center" vertical="center"/>
    </xf>
    <xf numFmtId="0" fontId="65" fillId="51" borderId="30" xfId="0" applyFont="1" applyFill="1" applyBorder="1" applyAlignment="1">
      <alignment horizontal="center" vertical="center"/>
    </xf>
    <xf numFmtId="0" fontId="43" fillId="39" borderId="0" xfId="0" applyFont="1" applyFill="1" applyAlignment="1">
      <alignment vertical="center"/>
    </xf>
    <xf numFmtId="0" fontId="0" fillId="39" borderId="0" xfId="0" applyFill="1" applyAlignment="1">
      <alignment vertical="center"/>
    </xf>
    <xf numFmtId="0" fontId="44" fillId="40" borderId="26" xfId="0" applyFont="1" applyFill="1" applyBorder="1" applyAlignment="1">
      <alignment vertical="center"/>
    </xf>
    <xf numFmtId="0" fontId="0" fillId="34" borderId="27" xfId="0" applyFill="1" applyBorder="1" applyAlignment="1">
      <alignment vertical="center"/>
    </xf>
    <xf numFmtId="0" fontId="45" fillId="34" borderId="26" xfId="0" applyFont="1" applyFill="1" applyBorder="1"/>
    <xf numFmtId="0" fontId="0" fillId="34" borderId="27" xfId="0" applyFill="1" applyBorder="1"/>
    <xf numFmtId="0" fontId="0" fillId="0" borderId="12" xfId="0" applyFont="1" applyBorder="1" applyAlignment="1" applyProtection="1">
      <alignment horizontal="center" vertical="center"/>
      <protection locked="0"/>
    </xf>
    <xf numFmtId="0" fontId="5" fillId="28" borderId="4" xfId="27" applyAlignment="1">
      <alignment horizontal="center" vertical="center"/>
    </xf>
    <xf numFmtId="0" fontId="5" fillId="28" borderId="4" xfId="27" applyAlignment="1">
      <alignment horizontal="center"/>
    </xf>
    <xf numFmtId="0" fontId="5" fillId="28" borderId="4" xfId="27" applyAlignment="1">
      <alignment vertical="top"/>
    </xf>
    <xf numFmtId="170" fontId="5" fillId="28" borderId="4" xfId="27" applyNumberFormat="1" applyAlignment="1">
      <alignment vertical="top"/>
    </xf>
    <xf numFmtId="4" fontId="5" fillId="28" borderId="4" xfId="27" applyNumberFormat="1" applyAlignment="1">
      <alignment horizontal="right" vertical="top"/>
    </xf>
    <xf numFmtId="170" fontId="5" fillId="28" borderId="4" xfId="27" applyNumberFormat="1" applyAlignment="1">
      <alignment horizontal="center" vertical="center"/>
    </xf>
    <xf numFmtId="170" fontId="5" fillId="28" borderId="4" xfId="27" applyNumberFormat="1" applyAlignment="1">
      <alignment horizontal="center"/>
    </xf>
    <xf numFmtId="170" fontId="5" fillId="28" borderId="4" xfId="27" applyNumberFormat="1" applyAlignment="1">
      <alignment horizontal="right" vertical="top"/>
    </xf>
    <xf numFmtId="170" fontId="5" fillId="28" borderId="4" xfId="27" applyNumberFormat="1" applyAlignment="1" applyProtection="1">
      <alignment horizontal="center" vertical="center"/>
      <protection locked="0"/>
    </xf>
    <xf numFmtId="164" fontId="5" fillId="28" borderId="4" xfId="27" applyNumberFormat="1" applyAlignment="1">
      <alignment vertical="center"/>
    </xf>
    <xf numFmtId="10" fontId="5" fillId="28" borderId="4" xfId="27" applyNumberFormat="1" applyAlignment="1">
      <alignment horizontal="center" vertical="center"/>
    </xf>
    <xf numFmtId="1" fontId="5" fillId="28" borderId="4" xfId="27" applyNumberFormat="1" applyAlignment="1">
      <alignment horizontal="center" vertical="center"/>
    </xf>
    <xf numFmtId="14" fontId="5" fillId="28" borderId="4" xfId="27" applyNumberFormat="1" applyAlignment="1">
      <alignment horizontal="center" vertical="center"/>
    </xf>
    <xf numFmtId="164" fontId="5" fillId="28" borderId="4" xfId="27" applyNumberFormat="1" applyAlignment="1">
      <alignment horizontal="center" vertical="center"/>
    </xf>
    <xf numFmtId="2" fontId="5" fillId="28" borderId="4" xfId="27" applyNumberFormat="1" applyAlignment="1">
      <alignment horizontal="center" vertical="center"/>
    </xf>
    <xf numFmtId="10" fontId="18" fillId="0" borderId="12" xfId="0" applyNumberFormat="1" applyFont="1" applyBorder="1" applyAlignment="1" applyProtection="1">
      <alignment horizontal="center" vertical="center"/>
      <protection locked="0"/>
    </xf>
    <xf numFmtId="10" fontId="18" fillId="0" borderId="13" xfId="0" applyNumberFormat="1" applyFont="1" applyBorder="1" applyAlignment="1" applyProtection="1">
      <alignment horizontal="center" vertical="center"/>
      <protection locked="0"/>
    </xf>
    <xf numFmtId="43" fontId="0" fillId="0" borderId="0" xfId="0" applyNumberFormat="1" applyBorder="1" applyAlignment="1" applyProtection="1">
      <alignment vertical="center"/>
      <protection locked="0"/>
    </xf>
    <xf numFmtId="0" fontId="0" fillId="0" borderId="23" xfId="0" applyFont="1" applyBorder="1" applyAlignment="1" applyProtection="1">
      <alignment horizontal="center" vertical="center"/>
      <protection hidden="1"/>
    </xf>
    <xf numFmtId="0" fontId="0" fillId="0" borderId="29" xfId="0" applyFill="1" applyBorder="1"/>
  </cellXfs>
  <cellStyles count="5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47" builtinId="8"/>
    <cellStyle name="Input" xfId="35" builtinId="20" customBuiltin="1"/>
    <cellStyle name="Linked Cell" xfId="36" builtinId="24" customBuiltin="1"/>
    <cellStyle name="Neutral" xfId="37" builtinId="28" customBuiltin="1"/>
    <cellStyle name="Normal" xfId="0" builtinId="0"/>
    <cellStyle name="Normal 2" xfId="44" xr:uid="{00000000-0005-0000-0000-000027000000}"/>
    <cellStyle name="Normal 3" xfId="45" xr:uid="{00000000-0005-0000-0000-000028000000}"/>
    <cellStyle name="Normal 3 2" xfId="46" xr:uid="{00000000-0005-0000-0000-000029000000}"/>
    <cellStyle name="Normal 4" xfId="48" xr:uid="{00000000-0005-0000-0000-00002A000000}"/>
    <cellStyle name="Normal 5" xfId="49" xr:uid="{00000000-0005-0000-0000-00002B00000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ont>
        <color rgb="FF9C0006"/>
      </font>
      <fill>
        <patternFill>
          <bgColor rgb="FFFFC7CE"/>
        </patternFill>
      </fill>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ont>
        <color rgb="FF9C0006"/>
      </font>
      <fill>
        <patternFill>
          <bgColor rgb="FFFFC7CE"/>
        </patternFill>
      </fill>
    </dxf>
    <dxf>
      <font>
        <color rgb="FF9C0006"/>
      </font>
      <fill>
        <patternFill>
          <bgColor rgb="FFFFC7CE"/>
        </patternFill>
      </fill>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fill>
        <patternFill>
          <bgColor rgb="FFCCFDFF"/>
        </patternFill>
      </fill>
      <border>
        <left style="thin">
          <color rgb="FFDCE2EA"/>
        </left>
        <right style="thin">
          <color rgb="FFDCE2EA"/>
        </right>
      </border>
    </dxf>
    <dxf>
      <fill>
        <patternFill>
          <bgColor rgb="FFCCFDFF"/>
        </patternFill>
      </fill>
      <border>
        <top style="thin">
          <color rgb="FFDCE2EA"/>
        </top>
        <bottom style="thin">
          <color rgb="FFDCE2EA"/>
        </bottom>
      </border>
    </dxf>
    <dxf>
      <numFmt numFmtId="35" formatCode="_ * #,##0.00_ ;_ * \-#,##0.00_ ;_ * &quot;-&quot;??_ ;_ @_ "/>
      <alignment horizontal="general" vertical="center" textRotation="0" wrapText="0" indent="0" justifyLastLine="0" shrinkToFit="0" readingOrder="0"/>
      <protection locked="0" hidden="0"/>
    </dxf>
    <dxf>
      <numFmt numFmtId="35" formatCode="_ * #,##0.00_ ;_ * \-#,##0.00_ ;_ * &quot;-&quot;??_ ;_ @_ "/>
      <alignment horizontal="general" vertical="center" textRotation="0" wrapText="0" indent="0" justifyLastLine="0" shrinkToFit="0" readingOrder="0"/>
      <protection locked="0" hidden="0"/>
    </dxf>
    <dxf>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0.00_);_(* \(#,##0.00\);_(*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70" formatCode="dd\-mm\-yyyy"/>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numFmt numFmtId="170" formatCode="dd\-mm\-yyyy"/>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numFmt numFmtId="170"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numFmt numFmtId="170"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70" formatCode="dd\-mm\-yyyy"/>
      <alignment horizontal="right" vertical="top" textRotation="0" wrapText="0" indent="0" justifyLastLine="0" shrinkToFit="0" readingOrder="0"/>
      <border diagonalUp="0" diagonalDown="0" outline="0">
        <left style="thin">
          <color indexed="64"/>
        </left>
        <right style="thin">
          <color indexed="64"/>
        </right>
        <top style="thin">
          <color indexed="64"/>
        </top>
        <bottom/>
      </border>
      <protection locked="0" hidden="0"/>
    </dxf>
    <dxf>
      <numFmt numFmtId="170"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170"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numFmt numFmtId="170" formatCode="dd\-mm\-yyyy"/>
      <alignment horizontal="center" vertical="center"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numFmt numFmtId="170"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numFmt numFmtId="170"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4" formatCode="#,##0.00"/>
      <alignment horizontal="righ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170" formatCode="dd\-mm\-yyyy"/>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right style="thin">
          <color indexed="64"/>
        </right>
        <top/>
        <bottom/>
        <vertical/>
        <horizontal/>
      </border>
    </dxf>
    <dxf>
      <border outline="0">
        <left style="thin">
          <color rgb="FF000000"/>
        </left>
        <top style="thin">
          <color rgb="FF000000"/>
        </top>
      </border>
    </dxf>
    <dxf>
      <border outline="0">
        <bottom style="thin">
          <color rgb="FF000000"/>
        </bottom>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66" formatCode="_ * #,##0_ ;_ * \-#,##0_ ;_ * &quot;-&quot;??_ ;_ @_ "/>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numFmt numFmtId="166" formatCode="_ * #,##0_ ;_ * \-#,##0_ ;_ * &quot;-&quot;??_ ;_ @_ "/>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2" formatCode="0.0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numFmt numFmtId="164" formatCode="_(* #,##0.00_);_(* \(#,##0.00\);_(* &quot;-&quot;??_);_(@_)"/>
      <fill>
        <patternFill patternType="solid">
          <fgColor indexed="64"/>
          <bgColor rgb="FFF6C3FF"/>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auto="1"/>
        <name val="Calibri"/>
        <family val="2"/>
        <scheme val="minor"/>
      </font>
      <numFmt numFmtId="164" formatCode="_(* #,##0.00_);_(* \(#,##0.00\);_(* &quot;-&quot;??_);_(@_)"/>
      <fill>
        <patternFill patternType="solid">
          <fgColor indexed="64"/>
          <bgColor rgb="FFF6C3FF"/>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5" formatCode="_ * #,##0.00_ ;_ * \-#,##0.00_ ;_ * &quot;-&quot;??_ ;_ @_ "/>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35" formatCode="_ * #,##0.00_ ;_ * \-#,##0.00_ ;_ * &quot;-&quot;??_ ;_ @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71" formatCode="[&gt;=1000000][$₹-4009]\ 0.0,,&quot;M&quot;;[&gt;=1000][$₹-4009]\ 0.0,&quot;K&quot;;[$₹-4009]\ #,##0"/>
    </dxf>
    <dxf>
      <numFmt numFmtId="171" formatCode="[&gt;=1000000][$₹-4009]\ 0.0,,&quot;M&quot;;[&gt;=1000][$₹-4009]\ 0.0,&quot;K&quot;;[$₹-4009]\ #,##0"/>
    </dxf>
    <dxf>
      <numFmt numFmtId="35" formatCode="_ * #,##0.00_ ;_ * \-#,##0.00_ ;_ * &quot;-&quot;??_ ;_ @_ "/>
      <alignment horizontal="general" vertical="center" textRotation="0" wrapText="0" indent="0" justifyLastLine="0" shrinkToFit="0" readingOrder="0"/>
      <protection locked="0" hidden="0"/>
    </dxf>
    <dxf>
      <numFmt numFmtId="35" formatCode="_ * #,##0.00_ ;_ * \-#,##0.00_ ;_ * &quot;-&quot;??_ ;_ @_ "/>
      <alignment horizontal="general" vertical="center" textRotation="0" wrapText="0" indent="0" justifyLastLine="0" shrinkToFit="0" readingOrder="0"/>
      <protection locked="0" hidden="0"/>
    </dxf>
    <dxf>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0.00_);_(* \(#,##0.00\);_(*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auto="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64" formatCode="_(* #,##0.00_);_(* \(#,##0.00\);_(* &quot;-&quot;??_);_(@_)"/>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70" formatCode="dd\-mm\-yyyy"/>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numFmt numFmtId="170" formatCode="dd\-mm\-yyyy"/>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numFmt numFmtId="170"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numFmt numFmtId="170"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70" formatCode="dd\-mm\-yyyy"/>
      <alignment horizontal="right" vertical="top" textRotation="0" wrapText="0" indent="0" justifyLastLine="0" shrinkToFit="0" readingOrder="0"/>
      <border diagonalUp="0" diagonalDown="0" outline="0">
        <left style="thin">
          <color indexed="64"/>
        </left>
        <right style="thin">
          <color indexed="64"/>
        </right>
        <top style="thin">
          <color indexed="64"/>
        </top>
        <bottom/>
      </border>
      <protection locked="0" hidden="0"/>
    </dxf>
    <dxf>
      <numFmt numFmtId="170"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170"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numFmt numFmtId="170" formatCode="dd\-mm\-yyyy"/>
      <alignment horizontal="center" vertical="center"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numFmt numFmtId="170"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numFmt numFmtId="170"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4" formatCode="#,##0.00"/>
      <alignment horizontal="righ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170" formatCode="dd\-mm\-yyyy"/>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right style="thin">
          <color indexed="64"/>
        </right>
        <top/>
        <bottom/>
        <vertical/>
        <horizontal/>
      </border>
    </dxf>
    <dxf>
      <border outline="0">
        <left style="thin">
          <color indexed="64"/>
        </left>
        <top style="thin">
          <color indexed="64"/>
        </top>
      </border>
    </dxf>
    <dxf>
      <border outline="0">
        <bottom style="thin">
          <color indexed="64"/>
        </bottom>
      </border>
    </dxf>
    <dxf>
      <font>
        <b/>
        <i val="0"/>
        <strike val="0"/>
        <condense val="0"/>
        <extend val="0"/>
        <outline val="0"/>
        <shadow val="0"/>
        <u val="none"/>
        <vertAlign val="baseline"/>
        <sz val="11"/>
        <color rgb="FFFFFF0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5512D122-5CC6-11CF-8D67-00AA00BDCE1D}" ax:persistence="persistStream" r:id="rId1"/>
</file>

<file path=xl/activeX/activeX2.xml><?xml version="1.0" encoding="utf-8"?>
<ax:ocx xmlns:ax="http://schemas.microsoft.com/office/2006/activeX" xmlns:r="http://schemas.openxmlformats.org/officeDocument/2006/relationships" ax:classid="{5512D122-5CC6-11CF-8D67-00AA00BDCE1D}" ax:persistence="persistStream" r:id="rId1"/>
</file>

<file path=xl/activeX/activeX3.xml><?xml version="1.0" encoding="utf-8"?>
<ax:ocx xmlns:ax="http://schemas.microsoft.com/office/2006/activeX" xmlns:r="http://schemas.openxmlformats.org/officeDocument/2006/relationships" ax:classid="{5512D122-5CC6-11CF-8D67-00AA00BDCE1D}" ax:persistence="persistStream"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DISCOUNTING 2026-27.xlsx]Dash_Backend!UserChart_174041_6799</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CUSTOMERS</a:t>
            </a:r>
          </a:p>
        </c:rich>
      </c:tx>
      <c:overlay val="0"/>
    </c:title>
    <c:autoTitleDeleted val="0"/>
    <c:pivotFmts>
      <c:pivotFmt>
        <c:idx val="0"/>
        <c:spPr>
          <a:ln w="25400">
            <a:solidFill>
              <a:srgbClr val="818CF8"/>
            </a:solidFill>
          </a:ln>
        </c:spPr>
        <c:marker>
          <c:symbol val="circle"/>
          <c:size val="6"/>
          <c:spPr>
            <a:solidFill>
              <a:srgbClr val="818CF8"/>
            </a:solidFill>
            <a:ln w="25400">
              <a:solidFill>
                <a:srgbClr val="818CF8"/>
              </a:solidFill>
              <a:prstDash val="solid"/>
            </a:ln>
          </c:spPr>
        </c:marker>
        <c:dLbl>
          <c:idx val="0"/>
          <c:numFmt formatCode="[&gt;=1000000][$₹-4009]\ 0.0,,&quot;M&quot;;[&gt;=1000][$₹-4009]\ 0.0,&quot;K&quot;;[$₹-40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Dash_Backend!$K$3</c:f>
              <c:strCache>
                <c:ptCount val="1"/>
                <c:pt idx="0">
                  <c:v>Total</c:v>
                </c:pt>
              </c:strCache>
            </c:strRef>
          </c:tx>
          <c:spPr>
            <a:ln w="25400">
              <a:solidFill>
                <a:srgbClr val="818CF8"/>
              </a:solidFill>
            </a:ln>
          </c:spPr>
          <c:marker>
            <c:symbol val="circle"/>
            <c:size val="6"/>
            <c:spPr>
              <a:solidFill>
                <a:srgbClr val="818CF8"/>
              </a:solidFill>
              <a:ln w="25400">
                <a:solidFill>
                  <a:srgbClr val="818CF8"/>
                </a:solidFill>
                <a:prstDash val="solid"/>
              </a:ln>
            </c:spPr>
          </c:marker>
          <c:dLbls>
            <c:numFmt formatCode="[&gt;=1000000][$₹-4009]\ 0.0,,&quot;M&quot;;[&gt;=1000][$₹-4009]\ 0.0,&quot;K&quot;;[$₹-40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Dash_Backend!$J$4:$J$6</c:f>
              <c:strCache>
                <c:ptCount val="3"/>
                <c:pt idx="0">
                  <c:v>INDUSTOWER</c:v>
                </c:pt>
                <c:pt idx="1">
                  <c:v>RELIANCEIN</c:v>
                </c:pt>
                <c:pt idx="2">
                  <c:v>SIEMENSLTD</c:v>
                </c:pt>
              </c:strCache>
            </c:strRef>
          </c:cat>
          <c:val>
            <c:numRef>
              <c:f>Dash_Backend!$K$4:$K$6</c:f>
              <c:numCache>
                <c:formatCode>General</c:formatCode>
                <c:ptCount val="3"/>
                <c:pt idx="0">
                  <c:v>40678015.919999979</c:v>
                </c:pt>
                <c:pt idx="1">
                  <c:v>15704860.889999999</c:v>
                </c:pt>
                <c:pt idx="2">
                  <c:v>36758804.839999989</c:v>
                </c:pt>
              </c:numCache>
            </c:numRef>
          </c:val>
          <c:smooth val="1"/>
          <c:extLst>
            <c:ext xmlns:c16="http://schemas.microsoft.com/office/drawing/2014/chart" uri="{C3380CC4-5D6E-409C-BE32-E72D297353CC}">
              <c16:uniqueId val="{00000001-A7A2-4427-AB37-8B7A3FF10EBF}"/>
            </c:ext>
          </c:extLst>
        </c:ser>
        <c:dLbls>
          <c:showLegendKey val="0"/>
          <c:showVal val="0"/>
          <c:showCatName val="0"/>
          <c:showSerName val="0"/>
          <c:showPercent val="0"/>
          <c:showBubbleSize val="0"/>
        </c:dLbls>
        <c:marker val="1"/>
        <c:smooth val="0"/>
        <c:axId val="777876288"/>
        <c:axId val="777874488"/>
      </c:lineChart>
      <c:catAx>
        <c:axId val="777876288"/>
        <c:scaling>
          <c:orientation val="minMax"/>
        </c:scaling>
        <c:delete val="0"/>
        <c:axPos val="b"/>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DEBTOR CODE</a:t>
                </a:r>
              </a:p>
            </c:rich>
          </c:tx>
          <c:overlay val="0"/>
        </c:title>
        <c:numFmt formatCode="General" sourceLinked="1"/>
        <c:majorTickMark val="out"/>
        <c:minorTickMark val="none"/>
        <c:tickLblPos val="nextTo"/>
        <c:spPr>
          <a:ln>
            <a:solidFill>
              <a:srgbClr val="112E42"/>
            </a:solidFill>
          </a:ln>
        </c:spPr>
        <c:txPr>
          <a:bodyPr/>
          <a:lstStyle/>
          <a:p>
            <a:pPr>
              <a:defRPr>
                <a:solidFill>
                  <a:srgbClr val="EDEDED"/>
                </a:solidFill>
                <a:latin typeface="Segoe UI"/>
                <a:ea typeface="Segoe UI"/>
                <a:cs typeface="Segoe UI"/>
              </a:defRPr>
            </a:pPr>
            <a:endParaRPr lang="en-US"/>
          </a:p>
        </c:txPr>
        <c:crossAx val="777874488"/>
        <c:crosses val="autoZero"/>
        <c:auto val="0"/>
        <c:lblAlgn val="ctr"/>
        <c:lblOffset val="100"/>
        <c:noMultiLvlLbl val="0"/>
      </c:catAx>
      <c:valAx>
        <c:axId val="777874488"/>
        <c:scaling>
          <c:orientation val="minMax"/>
        </c:scaling>
        <c:delete val="0"/>
        <c:axPos val="l"/>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INSTRUMENT AMOUNT</a:t>
                </a:r>
              </a:p>
            </c:rich>
          </c:tx>
          <c:overlay val="0"/>
        </c:title>
        <c:numFmt formatCode="[&gt;=1000000]0.0,,&quot;M&quot;;[&gt;=1000]0.0,&quot;K&quot;;0" sourceLinked="0"/>
        <c:majorTickMark val="out"/>
        <c:minorTickMark val="none"/>
        <c:tickLblPos val="nextTo"/>
        <c:spPr>
          <a:ln>
            <a:solidFill>
              <a:srgbClr val="112E42"/>
            </a:solidFill>
          </a:ln>
        </c:spPr>
        <c:txPr>
          <a:bodyPr/>
          <a:lstStyle/>
          <a:p>
            <a:pPr>
              <a:defRPr>
                <a:solidFill>
                  <a:srgbClr val="EDEDED"/>
                </a:solidFill>
                <a:latin typeface="Segoe UI"/>
                <a:ea typeface="Segoe UI"/>
                <a:cs typeface="Segoe UI"/>
              </a:defRPr>
            </a:pPr>
            <a:endParaRPr lang="en-US"/>
          </a:p>
        </c:txPr>
        <c:crossAx val="777876288"/>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t"/>
      <c:overlay val="0"/>
      <c:txPr>
        <a:bodyPr/>
        <a:lstStyle/>
        <a:p>
          <a:pPr>
            <a:defRPr sz="1000">
              <a:solidFill>
                <a:srgbClr val="FFFFFF"/>
              </a:solidFill>
              <a:latin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2438"/>
    </a:solidFill>
    <a:ln>
      <a:solidFill>
        <a:srgbClr val="112E42"/>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DISCOUNTING 2026-27.xlsx]Dash_Backend!UserChart_174415_9765</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OUTSTANDING</a:t>
            </a:r>
          </a:p>
        </c:rich>
      </c:tx>
      <c:overlay val="0"/>
    </c:title>
    <c:autoTitleDeleted val="0"/>
    <c:pivotFmts>
      <c:pivotFmt>
        <c:idx val="0"/>
        <c:marker>
          <c:symbol val="none"/>
        </c:marker>
        <c:dLbl>
          <c:idx val="0"/>
          <c:numFmt formatCode="[&gt;=1000000][$₹-4009]\ 0.0,,&quot;M&quot;;[&gt;=1000][$₹-4009]\ 0.0,&quot;K&quot;;[$₹-4009]\ #,##0" sourceLinked="0"/>
          <c:spPr>
            <a:noFill/>
            <a:ln>
              <a:noFill/>
            </a:ln>
            <a:effectLst/>
          </c:spPr>
          <c:txPr>
            <a:bodyPr wrap="none" lIns="38100" tIns="19050" rIns="38100" bIns="19050" anchor="ctr">
              <a:spAutoFit/>
            </a:bodyPr>
            <a:lstStyle/>
            <a:p>
              <a:pPr>
                <a:defRPr sz="900">
                  <a:solidFill>
                    <a:srgbClr val="FFFFFF"/>
                  </a:solidFill>
                  <a:latin typeface="Segoe UI" panose="020B0502040204020203"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
        <c:spPr>
          <a:solidFill>
            <a:srgbClr val="818CF8"/>
          </a:solidFill>
          <a:ln w="19050">
            <a:solidFill>
              <a:srgbClr val="0F172A"/>
            </a:solidFill>
          </a:ln>
        </c:spPr>
      </c:pivotFmt>
      <c:pivotFmt>
        <c:idx val="2"/>
        <c:spPr>
          <a:solidFill>
            <a:srgbClr val="818CF8"/>
          </a:solidFill>
          <a:ln w="19050">
            <a:solidFill>
              <a:srgbClr val="0B2438"/>
            </a:solidFill>
          </a:ln>
        </c:spPr>
      </c:pivotFmt>
      <c:pivotFmt>
        <c:idx val="3"/>
        <c:spPr>
          <a:solidFill>
            <a:srgbClr val="34D399"/>
          </a:solidFill>
          <a:ln w="19050">
            <a:solidFill>
              <a:srgbClr val="0B2438"/>
            </a:solidFill>
          </a:ln>
        </c:spPr>
      </c:pivotFmt>
      <c:pivotFmt>
        <c:idx val="4"/>
        <c:spPr>
          <a:solidFill>
            <a:srgbClr val="FBBF24"/>
          </a:solidFill>
          <a:ln w="19050">
            <a:solidFill>
              <a:srgbClr val="0B2438"/>
            </a:solidFill>
          </a:ln>
        </c:spPr>
      </c:pivotFmt>
      <c:pivotFmt>
        <c:idx val="5"/>
        <c:spPr>
          <a:solidFill>
            <a:srgbClr val="38BDF8"/>
          </a:solidFill>
          <a:ln w="19050">
            <a:solidFill>
              <a:srgbClr val="0F172A"/>
            </a:solidFill>
          </a:ln>
        </c:spPr>
      </c:pivotFmt>
      <c:pivotFmt>
        <c:idx val="6"/>
        <c:spPr>
          <a:solidFill>
            <a:srgbClr val="F87171"/>
          </a:solidFill>
          <a:ln w="19050">
            <a:solidFill>
              <a:srgbClr val="0B2438"/>
            </a:solidFill>
          </a:ln>
        </c:spPr>
      </c:pivotFmt>
      <c:pivotFmt>
        <c:idx val="7"/>
        <c:spPr>
          <a:solidFill>
            <a:srgbClr val="38BDF8"/>
          </a:solidFill>
          <a:ln w="19050">
            <a:solidFill>
              <a:srgbClr val="0B2438"/>
            </a:solidFill>
          </a:ln>
        </c:spPr>
      </c:pivotFmt>
    </c:pivotFmts>
    <c:plotArea>
      <c:layout/>
      <c:pieChart>
        <c:varyColors val="1"/>
        <c:ser>
          <c:idx val="0"/>
          <c:order val="0"/>
          <c:tx>
            <c:strRef>
              <c:f>Dash_Backend!$AC$3</c:f>
              <c:strCache>
                <c:ptCount val="1"/>
                <c:pt idx="0">
                  <c:v>Total</c:v>
                </c:pt>
              </c:strCache>
            </c:strRef>
          </c:tx>
          <c:dPt>
            <c:idx val="0"/>
            <c:bubble3D val="0"/>
            <c:extLst>
              <c:ext xmlns:c16="http://schemas.microsoft.com/office/drawing/2014/chart" uri="{C3380CC4-5D6E-409C-BE32-E72D297353CC}">
                <c16:uniqueId val="{00000002-24EC-43F9-93DA-9BB6877C7BAE}"/>
              </c:ext>
            </c:extLst>
          </c:dPt>
          <c:dPt>
            <c:idx val="1"/>
            <c:bubble3D val="0"/>
            <c:extLst>
              <c:ext xmlns:c16="http://schemas.microsoft.com/office/drawing/2014/chart" uri="{C3380CC4-5D6E-409C-BE32-E72D297353CC}">
                <c16:uniqueId val="{00000003-24EC-43F9-93DA-9BB6877C7BAE}"/>
              </c:ext>
            </c:extLst>
          </c:dPt>
          <c:dPt>
            <c:idx val="2"/>
            <c:bubble3D val="0"/>
            <c:extLst>
              <c:ext xmlns:c16="http://schemas.microsoft.com/office/drawing/2014/chart" uri="{C3380CC4-5D6E-409C-BE32-E72D297353CC}">
                <c16:uniqueId val="{00000004-24EC-43F9-93DA-9BB6877C7BAE}"/>
              </c:ext>
            </c:extLst>
          </c:dPt>
          <c:dPt>
            <c:idx val="3"/>
            <c:bubble3D val="0"/>
            <c:extLst>
              <c:ext xmlns:c16="http://schemas.microsoft.com/office/drawing/2014/chart" uri="{C3380CC4-5D6E-409C-BE32-E72D297353CC}">
                <c16:uniqueId val="{00000006-5192-4A87-B743-AD8D928BF585}"/>
              </c:ext>
            </c:extLst>
          </c:dPt>
          <c:dPt>
            <c:idx val="4"/>
            <c:bubble3D val="0"/>
            <c:extLst>
              <c:ext xmlns:c16="http://schemas.microsoft.com/office/drawing/2014/chart" uri="{C3380CC4-5D6E-409C-BE32-E72D297353CC}">
                <c16:uniqueId val="{00000007-5192-4A87-B743-AD8D928BF585}"/>
              </c:ext>
            </c:extLst>
          </c:dPt>
          <c:dLbls>
            <c:numFmt formatCode="[&gt;=1000000][$₹-4009]\ 0.0,,&quot;M&quot;;[&gt;=1000][$₹-4009]\ 0.0,&quot;K&quot;;[$₹-4009]\ #,##0" sourceLinked="0"/>
            <c:spPr>
              <a:noFill/>
              <a:ln>
                <a:noFill/>
              </a:ln>
              <a:effectLst/>
            </c:spPr>
            <c:txPr>
              <a:bodyPr wrap="none" lIns="38100" tIns="19050" rIns="38100" bIns="19050" anchor="ctr">
                <a:spAutoFit/>
              </a:bodyPr>
              <a:lstStyle/>
              <a:p>
                <a:pPr>
                  <a:defRPr sz="900">
                    <a:solidFill>
                      <a:srgbClr val="FFFFFF"/>
                    </a:solidFill>
                    <a:latin typeface="Segoe UI" panose="020B0502040204020203" pitchFamily="34" charset="0"/>
                  </a:defRPr>
                </a:pPr>
                <a:endParaRPr lang="en-US"/>
              </a:p>
            </c:txPr>
            <c:dLblPos val="bestFit"/>
            <c:showLegendKey val="0"/>
            <c:showVal val="1"/>
            <c:showCatName val="1"/>
            <c:showSerName val="0"/>
            <c:showPercent val="0"/>
            <c:showBubbleSize val="0"/>
            <c:separator>, </c:separator>
            <c:showLeaderLines val="1"/>
            <c:extLst>
              <c:ext xmlns:c15="http://schemas.microsoft.com/office/drawing/2012/chart" uri="{CE6537A1-D6FC-4f65-9D91-7224C49458BB}">
                <c15:spPr xmlns:c15="http://schemas.microsoft.com/office/drawing/2012/chart">
                  <a:prstGeom prst="rect">
                    <a:avLst/>
                  </a:prstGeom>
                </c15:spPr>
              </c:ext>
            </c:extLst>
          </c:dLbls>
          <c:cat>
            <c:strRef>
              <c:f>Dash_Backend!$AB$4:$AB$10</c:f>
              <c:strCache>
                <c:ptCount val="7"/>
                <c:pt idx="0">
                  <c:v>INDUSTOWER</c:v>
                </c:pt>
                <c:pt idx="1">
                  <c:v>RELIANCEIN</c:v>
                </c:pt>
                <c:pt idx="2">
                  <c:v>SIEMENSLTD</c:v>
                </c:pt>
                <c:pt idx="3">
                  <c:v>Debtor Code</c:v>
                </c:pt>
                <c:pt idx="4">
                  <c:v>CLEANMAX</c:v>
                </c:pt>
                <c:pt idx="5">
                  <c:v>AVAADA</c:v>
                </c:pt>
                <c:pt idx="6">
                  <c:v>ARCHTECH</c:v>
                </c:pt>
              </c:strCache>
            </c:strRef>
          </c:cat>
          <c:val>
            <c:numRef>
              <c:f>Dash_Backend!$AC$4:$AC$10</c:f>
              <c:numCache>
                <c:formatCode>General</c:formatCode>
                <c:ptCount val="7"/>
                <c:pt idx="0">
                  <c:v>44262547.939999975</c:v>
                </c:pt>
                <c:pt idx="1">
                  <c:v>19383220.609999999</c:v>
                </c:pt>
                <c:pt idx="2">
                  <c:v>36758804.839999989</c:v>
                </c:pt>
                <c:pt idx="3">
                  <c:v>0</c:v>
                </c:pt>
                <c:pt idx="4">
                  <c:v>56936452.580000006</c:v>
                </c:pt>
                <c:pt idx="5">
                  <c:v>31252202.069999997</c:v>
                </c:pt>
                <c:pt idx="6">
                  <c:v>3956835</c:v>
                </c:pt>
              </c:numCache>
            </c:numRef>
          </c:val>
          <c:extLst>
            <c:ext xmlns:c16="http://schemas.microsoft.com/office/drawing/2014/chart" uri="{C3380CC4-5D6E-409C-BE32-E72D297353CC}">
              <c16:uniqueId val="{00000001-24EC-43F9-93DA-9BB6877C7BAE}"/>
            </c:ext>
          </c:extLst>
        </c:ser>
        <c:dLbls>
          <c:showLegendKey val="0"/>
          <c:showVal val="0"/>
          <c:showCatName val="0"/>
          <c:showSerName val="0"/>
          <c:showPercent val="0"/>
          <c:showBubbleSize val="0"/>
          <c:showLeaderLines val="1"/>
        </c:dLbls>
        <c:firstSliceAng val="0"/>
      </c:pie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txPr>
        <a:bodyPr/>
        <a:lstStyle/>
        <a:p>
          <a:pPr>
            <a:defRPr sz="1000">
              <a:solidFill>
                <a:srgbClr val="FFFFFF"/>
              </a:solidFill>
              <a:latin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2438"/>
    </a:solidFill>
    <a:ln>
      <a:solidFill>
        <a:srgbClr val="112E42"/>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[INVOICE DISCOUNTING 2026-27.xlsx]Dash_Backend!UserChart_174657_3632</c:name>
    <c:fmtId val="0"/>
  </c:pivotSource>
  <c:chart>
    <c:title>
      <c:tx>
        <c:rich>
          <a:bodyPr/>
          <a:lstStyle/>
          <a:p>
            <a:pPr>
              <a:defRPr sz="1400" b="1">
                <a:solidFill>
                  <a:srgbClr val="FFFFFF"/>
                </a:solidFill>
                <a:latin typeface="Segoe UI" panose="020B0502040204020203" pitchFamily="34" charset="0"/>
              </a:defRPr>
            </a:pPr>
            <a:r>
              <a:rPr lang="en-IN" sz="1400" b="1">
                <a:solidFill>
                  <a:srgbClr val="FFFFFF"/>
                </a:solidFill>
                <a:latin typeface="Segoe UI" panose="020B0502040204020203" pitchFamily="34" charset="0"/>
              </a:rPr>
              <a:t>NEW</a:t>
            </a:r>
          </a:p>
        </c:rich>
      </c:tx>
      <c:overlay val="0"/>
    </c:title>
    <c:autoTitleDeleted val="0"/>
    <c:pivotFmts>
      <c:pivotFmt>
        <c:idx val="0"/>
        <c:spPr>
          <a:solidFill>
            <a:srgbClr val="4F81BD"/>
          </a:solidFill>
          <a:ln>
            <a:noFill/>
          </a:ln>
          <a:effectLst/>
          <a:extLst>
            <a:ext uri="{91240B29-F687-4F45-9708-019B960494DF}">
              <a14:hiddenLine xmlns:a14="http://schemas.microsoft.com/office/drawing/2010/main">
                <a:noFill/>
              </a14:hiddenLine>
            </a:ext>
          </a:extLst>
        </c:spPr>
        <c:marker>
          <c:symbol val="none"/>
        </c:marker>
        <c:dLbl>
          <c:idx val="0"/>
          <c:numFmt formatCode="[&gt;=1000000][$₹-4009]\ 0.0,,&quot;M&quot;;[&gt;=1000][$₹-4009]\ 0.0,&quot;K&quot;;[$₹-40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18CF8"/>
          </a:solidFill>
          <a:ln>
            <a:noFill/>
          </a:ln>
          <a:effectLst/>
          <a:extLst>
            <a:ext uri="{91240B29-F687-4F45-9708-019B960494DF}">
              <a14:hiddenLine xmlns:a14="http://schemas.microsoft.com/office/drawing/2010/main">
                <a:noFill/>
              </a14:hiddenLine>
            </a:ext>
          </a:extLst>
        </c:spPr>
      </c:pivotFmt>
      <c:pivotFmt>
        <c:idx val="2"/>
        <c:spPr>
          <a:solidFill>
            <a:srgbClr val="818CF8"/>
          </a:solidFill>
          <a:ln>
            <a:noFill/>
          </a:ln>
          <a:effectLst/>
          <a:extLst>
            <a:ext uri="{91240B29-F687-4F45-9708-019B960494DF}">
              <a14:hiddenLine xmlns:a14="http://schemas.microsoft.com/office/drawing/2010/main">
                <a:noFill/>
              </a14:hiddenLine>
            </a:ext>
          </a:extLst>
        </c:spPr>
      </c:pivotFmt>
      <c:pivotFmt>
        <c:idx val="3"/>
        <c:spPr>
          <a:solidFill>
            <a:srgbClr val="34D399"/>
          </a:solidFill>
          <a:ln>
            <a:noFill/>
          </a:ln>
          <a:effectLst/>
          <a:extLst>
            <a:ext uri="{91240B29-F687-4F45-9708-019B960494DF}">
              <a14:hiddenLine xmlns:a14="http://schemas.microsoft.com/office/drawing/2010/main">
                <a:noFill/>
              </a14:hiddenLine>
            </a:ext>
          </a:extLst>
        </c:spPr>
      </c:pivotFmt>
      <c:pivotFmt>
        <c:idx val="4"/>
        <c:spPr>
          <a:solidFill>
            <a:srgbClr val="FBBF24"/>
          </a:solidFill>
          <a:ln>
            <a:noFill/>
          </a:ln>
          <a:effectLst/>
          <a:extLst>
            <a:ext uri="{91240B29-F687-4F45-9708-019B960494DF}">
              <a14:hiddenLine xmlns:a14="http://schemas.microsoft.com/office/drawing/2010/main">
                <a:noFill/>
              </a14:hiddenLine>
            </a:ext>
          </a:extLst>
        </c:spPr>
      </c:pivotFmt>
      <c:pivotFmt>
        <c:idx val="5"/>
        <c:spPr>
          <a:solidFill>
            <a:srgbClr val="38BDF8"/>
          </a:solidFill>
          <a:ln>
            <a:noFill/>
          </a:ln>
          <a:effectLst/>
          <a:extLst>
            <a:ext uri="{91240B29-F687-4F45-9708-019B960494DF}">
              <a14:hiddenLine xmlns:a14="http://schemas.microsoft.com/office/drawing/2010/main">
                <a:noFill/>
              </a14:hiddenLine>
            </a:ext>
          </a:extLst>
        </c:spPr>
      </c:pivotFmt>
    </c:pivotFmts>
    <c:plotArea>
      <c:layout/>
      <c:barChart>
        <c:barDir val="col"/>
        <c:grouping val="clustered"/>
        <c:varyColors val="1"/>
        <c:ser>
          <c:idx val="0"/>
          <c:order val="0"/>
          <c:tx>
            <c:strRef>
              <c:f>Dash_Backend!$AM$3</c:f>
              <c:strCache>
                <c:ptCount val="1"/>
                <c:pt idx="0">
                  <c:v>Total</c:v>
                </c:pt>
              </c:strCache>
            </c:strRef>
          </c:tx>
          <c:spPr>
            <a:solidFill>
              <a:srgbClr val="4F81BD"/>
            </a:solidFill>
            <a:ln>
              <a:noFill/>
            </a:ln>
            <a:effectLst/>
            <a:extLst>
              <a:ext uri="{91240B29-F687-4F45-9708-019B960494DF}">
                <a14:hiddenLine xmlns:a14="http://schemas.microsoft.com/office/drawing/2010/main">
                  <a:noFill/>
                </a14:hiddenLine>
              </a:ext>
            </a:extLst>
          </c:spPr>
          <c:invertIfNegative val="0"/>
          <c:dPt>
            <c:idx val="0"/>
            <c:invertIfNegative val="0"/>
            <c:bubble3D val="0"/>
            <c:spPr>
              <a:solidFill>
                <a:srgbClr val="818CF8"/>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3145-4826-8F7E-2BE3E2065A4D}"/>
              </c:ext>
            </c:extLst>
          </c:dPt>
          <c:dPt>
            <c:idx val="1"/>
            <c:invertIfNegative val="0"/>
            <c:bubble3D val="0"/>
            <c:spPr>
              <a:solidFill>
                <a:srgbClr val="34D39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2-3145-4826-8F7E-2BE3E2065A4D}"/>
              </c:ext>
            </c:extLst>
          </c:dPt>
          <c:dPt>
            <c:idx val="2"/>
            <c:invertIfNegative val="0"/>
            <c:bubble3D val="0"/>
            <c:spPr>
              <a:solidFill>
                <a:srgbClr val="FBBF2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3145-4826-8F7E-2BE3E2065A4D}"/>
              </c:ext>
            </c:extLst>
          </c:dPt>
          <c:dPt>
            <c:idx val="3"/>
            <c:invertIfNegative val="0"/>
            <c:bubble3D val="0"/>
            <c:extLst>
              <c:ext xmlns:c16="http://schemas.microsoft.com/office/drawing/2014/chart" uri="{C3380CC4-5D6E-409C-BE32-E72D297353CC}">
                <c16:uniqueId val="{00000004-3145-4826-8F7E-2BE3E2065A4D}"/>
              </c:ext>
            </c:extLst>
          </c:dPt>
          <c:dPt>
            <c:idx val="4"/>
            <c:invertIfNegative val="0"/>
            <c:bubble3D val="0"/>
            <c:extLst>
              <c:ext xmlns:c16="http://schemas.microsoft.com/office/drawing/2014/chart" uri="{C3380CC4-5D6E-409C-BE32-E72D297353CC}">
                <c16:uniqueId val="{00000005-3145-4826-8F7E-2BE3E2065A4D}"/>
              </c:ext>
            </c:extLst>
          </c:dPt>
          <c:dLbls>
            <c:numFmt formatCode="[&gt;=1000000][$₹-4009]\ 0.0,,&quot;M&quot;;[&gt;=1000][$₹-4009]\ 0.0,&quot;K&quot;;[$₹-4009]\ #,##0" sourceLinked="0"/>
            <c:spPr>
              <a:noFill/>
              <a:ln>
                <a:noFill/>
              </a:ln>
              <a:effectLst/>
            </c:spPr>
            <c:txPr>
              <a:bodyPr wrap="square" lIns="38100" tIns="19050" rIns="38100" bIns="19050" anchor="ctr">
                <a:spAutoFit/>
              </a:bodyPr>
              <a:lstStyle/>
              <a:p>
                <a:pPr>
                  <a:defRPr sz="900">
                    <a:solidFill>
                      <a:srgbClr val="FFFFFF"/>
                    </a:solidFill>
                    <a:latin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Dash_Backend!$AL$4:$AL$6</c:f>
              <c:strCache>
                <c:ptCount val="3"/>
                <c:pt idx="0">
                  <c:v>INDUSTOWER</c:v>
                </c:pt>
                <c:pt idx="1">
                  <c:v>RELIANCEIN</c:v>
                </c:pt>
                <c:pt idx="2">
                  <c:v>SIEMENSLTD</c:v>
                </c:pt>
              </c:strCache>
            </c:strRef>
          </c:cat>
          <c:val>
            <c:numRef>
              <c:f>Dash_Backend!$AM$4:$AM$6</c:f>
              <c:numCache>
                <c:formatCode>General</c:formatCode>
                <c:ptCount val="3"/>
                <c:pt idx="0">
                  <c:v>40678015.919999979</c:v>
                </c:pt>
                <c:pt idx="1">
                  <c:v>15704860.889999999</c:v>
                </c:pt>
                <c:pt idx="2">
                  <c:v>36758804.839999989</c:v>
                </c:pt>
              </c:numCache>
            </c:numRef>
          </c:val>
          <c:extLst>
            <c:ext xmlns:c16="http://schemas.microsoft.com/office/drawing/2014/chart" uri="{C3380CC4-5D6E-409C-BE32-E72D297353CC}">
              <c16:uniqueId val="{00000000-3145-4826-8F7E-2BE3E2065A4D}"/>
            </c:ext>
          </c:extLst>
        </c:ser>
        <c:dLbls>
          <c:showLegendKey val="0"/>
          <c:showVal val="0"/>
          <c:showCatName val="0"/>
          <c:showSerName val="0"/>
          <c:showPercent val="0"/>
          <c:showBubbleSize val="0"/>
        </c:dLbls>
        <c:gapWidth val="80"/>
        <c:axId val="772373064"/>
        <c:axId val="772365504"/>
      </c:barChart>
      <c:catAx>
        <c:axId val="772373064"/>
        <c:scaling>
          <c:orientation val="minMax"/>
        </c:scaling>
        <c:delete val="0"/>
        <c:axPos val="b"/>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DEBTOR CODE</a:t>
                </a:r>
              </a:p>
            </c:rich>
          </c:tx>
          <c:overlay val="0"/>
        </c:title>
        <c:numFmt formatCode="General" sourceLinked="1"/>
        <c:majorTickMark val="out"/>
        <c:minorTickMark val="none"/>
        <c:tickLblPos val="nextTo"/>
        <c:spPr>
          <a:ln>
            <a:solidFill>
              <a:srgbClr val="112E42"/>
            </a:solidFill>
          </a:ln>
        </c:spPr>
        <c:txPr>
          <a:bodyPr/>
          <a:lstStyle/>
          <a:p>
            <a:pPr>
              <a:defRPr>
                <a:solidFill>
                  <a:srgbClr val="EDEDED"/>
                </a:solidFill>
                <a:latin typeface="Segoe UI"/>
                <a:ea typeface="Segoe UI"/>
                <a:cs typeface="Segoe UI"/>
              </a:defRPr>
            </a:pPr>
            <a:endParaRPr lang="en-US"/>
          </a:p>
        </c:txPr>
        <c:crossAx val="772365504"/>
        <c:crosses val="autoZero"/>
        <c:auto val="1"/>
        <c:lblAlgn val="ctr"/>
        <c:lblOffset val="100"/>
        <c:noMultiLvlLbl val="0"/>
      </c:catAx>
      <c:valAx>
        <c:axId val="772365504"/>
        <c:scaling>
          <c:orientation val="minMax"/>
        </c:scaling>
        <c:delete val="0"/>
        <c:axPos val="l"/>
        <c:title>
          <c:tx>
            <c:rich>
              <a:bodyPr/>
              <a:lstStyle/>
              <a:p>
                <a:pPr>
                  <a:defRPr sz="900" b="1">
                    <a:solidFill>
                      <a:srgbClr val="EDEDED"/>
                    </a:solidFill>
                    <a:latin typeface="Segoe UI" panose="020B0502040204020203" pitchFamily="34" charset="0"/>
                  </a:defRPr>
                </a:pPr>
                <a:r>
                  <a:rPr lang="en-IN" sz="900" b="1">
                    <a:solidFill>
                      <a:srgbClr val="EDEDED"/>
                    </a:solidFill>
                    <a:latin typeface="Segoe UI" panose="020B0502040204020203" pitchFamily="34" charset="0"/>
                  </a:rPr>
                  <a:t>INSTRUMENT AMOUNT</a:t>
                </a:r>
              </a:p>
            </c:rich>
          </c:tx>
          <c:overlay val="0"/>
        </c:title>
        <c:numFmt formatCode="[&gt;=1000000]0.0,,&quot;M&quot;;[&gt;=1000]0.0,&quot;K&quot;;0" sourceLinked="0"/>
        <c:majorTickMark val="out"/>
        <c:minorTickMark val="none"/>
        <c:tickLblPos val="nextTo"/>
        <c:spPr>
          <a:ln>
            <a:solidFill>
              <a:srgbClr val="112E42"/>
            </a:solidFill>
          </a:ln>
        </c:spPr>
        <c:txPr>
          <a:bodyPr/>
          <a:lstStyle/>
          <a:p>
            <a:pPr>
              <a:defRPr>
                <a:solidFill>
                  <a:srgbClr val="EDEDED"/>
                </a:solidFill>
                <a:latin typeface="Segoe UI"/>
                <a:ea typeface="Segoe UI"/>
                <a:cs typeface="Segoe UI"/>
              </a:defRPr>
            </a:pPr>
            <a:endParaRPr lang="en-US"/>
          </a:p>
        </c:txPr>
        <c:crossAx val="772373064"/>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t"/>
      <c:overlay val="0"/>
      <c:txPr>
        <a:bodyPr/>
        <a:lstStyle/>
        <a:p>
          <a:pPr>
            <a:defRPr sz="1000">
              <a:solidFill>
                <a:srgbClr val="FFFFFF"/>
              </a:solidFill>
              <a:latin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2438"/>
    </a:solidFill>
    <a:ln>
      <a:solidFill>
        <a:srgbClr val="112E42"/>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11</xdr:row>
      <xdr:rowOff>38100</xdr:rowOff>
    </xdr:from>
    <xdr:to>
      <xdr:col>2</xdr:col>
      <xdr:colOff>1968500</xdr:colOff>
      <xdr:row>15</xdr:row>
      <xdr:rowOff>139700</xdr:rowOff>
    </xdr:to>
    <xdr:sp macro="[2]!UserAddKPI" textlink="">
      <xdr:nvSpPr>
        <xdr:cNvPr id="2" name="Rectangle: Rounded Corners 1">
          <a:extLst>
            <a:ext uri="{FF2B5EF4-FFF2-40B4-BE49-F238E27FC236}">
              <a16:creationId xmlns:a16="http://schemas.microsoft.com/office/drawing/2014/main" id="{CA614176-0EA1-4F3D-0F3E-584C52987620}"/>
            </a:ext>
          </a:extLst>
        </xdr:cNvPr>
        <xdr:cNvSpPr/>
      </xdr:nvSpPr>
      <xdr:spPr>
        <a:xfrm>
          <a:off x="1819275" y="2190750"/>
          <a:ext cx="1778000" cy="330200"/>
        </a:xfrm>
        <a:prstGeom prst="roundRect">
          <a:avLst/>
        </a:prstGeom>
        <a:solidFill>
          <a:srgbClr val="10B981"/>
        </a:solidFill>
        <a:ln w="25400" cap="flat" cmpd="sng" algn="ctr">
          <a:noFill/>
          <a:prstDash val="solid"/>
        </a:ln>
        <a:effectLst>
          <a:outerShdw blurRad="76200" dist="46663" dir="3284137" algn="tl">
            <a:srgbClr val="000000">
              <a:alpha val="20000"/>
            </a:srgbClr>
          </a:outerShdw>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latin typeface="Segoe UI" panose="020B0502040204020203" pitchFamily="34" charset="0"/>
            </a:rPr>
            <a:t>Generate KPI</a:t>
          </a:r>
        </a:p>
      </xdr:txBody>
    </xdr:sp>
    <xdr:clientData/>
  </xdr:twoCellAnchor>
  <xdr:twoCellAnchor editAs="oneCell">
    <xdr:from>
      <xdr:col>5</xdr:col>
      <xdr:colOff>190500</xdr:colOff>
      <xdr:row>17</xdr:row>
      <xdr:rowOff>50800</xdr:rowOff>
    </xdr:from>
    <xdr:to>
      <xdr:col>6</xdr:col>
      <xdr:colOff>47625</xdr:colOff>
      <xdr:row>19</xdr:row>
      <xdr:rowOff>25400</xdr:rowOff>
    </xdr:to>
    <xdr:sp macro="[2]!UserAddChart" textlink="">
      <xdr:nvSpPr>
        <xdr:cNvPr id="3" name="Rectangle: Rounded Corners 2">
          <a:extLst>
            <a:ext uri="{FF2B5EF4-FFF2-40B4-BE49-F238E27FC236}">
              <a16:creationId xmlns:a16="http://schemas.microsoft.com/office/drawing/2014/main" id="{0D28CC82-7E39-1B0D-3828-6403F2E6A198}"/>
            </a:ext>
          </a:extLst>
        </xdr:cNvPr>
        <xdr:cNvSpPr/>
      </xdr:nvSpPr>
      <xdr:spPr>
        <a:xfrm>
          <a:off x="6629400" y="3346450"/>
          <a:ext cx="1905000" cy="355600"/>
        </a:xfrm>
        <a:prstGeom prst="roundRect">
          <a:avLst/>
        </a:prstGeom>
        <a:solidFill>
          <a:srgbClr val="10B981"/>
        </a:solidFill>
        <a:ln w="25400" cap="flat" cmpd="sng" algn="ctr">
          <a:noFill/>
          <a:prstDash val="solid"/>
        </a:ln>
        <a:effectLst>
          <a:outerShdw blurRad="76200" dist="46663" dir="3284137" algn="tl">
            <a:srgbClr val="000000">
              <a:alpha val="20000"/>
            </a:srgbClr>
          </a:outerShdw>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latin typeface="Segoe UI" panose="020B0502040204020203" pitchFamily="34" charset="0"/>
            </a:rPr>
            <a:t>Generate Chart</a:t>
          </a:r>
        </a:p>
      </xdr:txBody>
    </xdr:sp>
    <xdr:clientData/>
  </xdr:twoCellAnchor>
  <xdr:twoCellAnchor>
    <xdr:from>
      <xdr:col>0</xdr:col>
      <xdr:colOff>190500</xdr:colOff>
      <xdr:row>1</xdr:row>
      <xdr:rowOff>0</xdr:rowOff>
    </xdr:from>
    <xdr:to>
      <xdr:col>1</xdr:col>
      <xdr:colOff>1022850</xdr:colOff>
      <xdr:row>2</xdr:row>
      <xdr:rowOff>155325</xdr:rowOff>
    </xdr:to>
    <xdr:sp macro="[2]!'NavigateHome &quot;Sheet_Index&quot;'" textlink="">
      <xdr:nvSpPr>
        <xdr:cNvPr id="4" name="BackButton">
          <a:extLst>
            <a:ext uri="{FF2B5EF4-FFF2-40B4-BE49-F238E27FC236}">
              <a16:creationId xmlns:a16="http://schemas.microsoft.com/office/drawing/2014/main" id="{9A087214-260B-3FED-D934-90B49969C08D}"/>
            </a:ext>
          </a:extLst>
        </xdr:cNvPr>
        <xdr:cNvSpPr/>
      </xdr:nvSpPr>
      <xdr:spPr>
        <a:xfrm>
          <a:off x="190500" y="190500"/>
          <a:ext cx="1080000" cy="374400"/>
        </a:xfrm>
        <a:prstGeom prst="roundRect">
          <a:avLst/>
        </a:prstGeom>
        <a:solidFill>
          <a:srgbClr val="0F9ED5"/>
        </a:solidFill>
        <a:ln w="9525">
          <a:solidFill>
            <a:srgbClr val="0A78A5"/>
          </a:solidFill>
        </a:ln>
        <a:effectLst>
          <a:prstShdw prst="shdw6" dist="107763" dir="2700000">
            <a:scrgbClr r="0" g="0" b="0">
              <a:alpha val="50000"/>
            </a:scrgbClr>
          </a:prst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FFFFFF"/>
              </a:solidFill>
              <a:latin typeface="Segoe UI" panose="020B0502040204020203" pitchFamily="34" charset="0"/>
            </a:rPr>
            <a:t>Back to Home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0</xdr:rowOff>
    </xdr:from>
    <xdr:to>
      <xdr:col>1</xdr:col>
      <xdr:colOff>660900</xdr:colOff>
      <xdr:row>2</xdr:row>
      <xdr:rowOff>183900</xdr:rowOff>
    </xdr:to>
    <xdr:sp macro="[2]!'NavigateHome &quot;Sheet_Index&quot;'" textlink="">
      <xdr:nvSpPr>
        <xdr:cNvPr id="2" name="BackButton">
          <a:extLst>
            <a:ext uri="{FF2B5EF4-FFF2-40B4-BE49-F238E27FC236}">
              <a16:creationId xmlns:a16="http://schemas.microsoft.com/office/drawing/2014/main" id="{96320403-06AF-908E-7C0C-2D285DE0DCCF}"/>
            </a:ext>
          </a:extLst>
        </xdr:cNvPr>
        <xdr:cNvSpPr/>
      </xdr:nvSpPr>
      <xdr:spPr>
        <a:xfrm>
          <a:off x="190500" y="190500"/>
          <a:ext cx="1080000" cy="374400"/>
        </a:xfrm>
        <a:prstGeom prst="roundRect">
          <a:avLst/>
        </a:prstGeom>
        <a:solidFill>
          <a:srgbClr val="0F9ED5"/>
        </a:solidFill>
        <a:ln w="9525">
          <a:solidFill>
            <a:srgbClr val="0A78A5"/>
          </a:solidFill>
        </a:ln>
        <a:effectLst>
          <a:prstShdw prst="shdw6" dist="107763" dir="2700000">
            <a:scrgbClr r="0" g="0" b="0">
              <a:alpha val="50000"/>
            </a:scrgbClr>
          </a:prst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FFFFFF"/>
              </a:solidFill>
              <a:latin typeface="Segoe UI" panose="020B0502040204020203" pitchFamily="34" charset="0"/>
            </a:rPr>
            <a:t>Back to 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63500</xdr:colOff>
      <xdr:row>2</xdr:row>
      <xdr:rowOff>0</xdr:rowOff>
    </xdr:from>
    <xdr:to>
      <xdr:col>8</xdr:col>
      <xdr:colOff>596900</xdr:colOff>
      <xdr:row>3</xdr:row>
      <xdr:rowOff>25400</xdr:rowOff>
    </xdr:to>
    <xdr:sp macro="[2]!UpdateDashboardTheme" textlink="">
      <xdr:nvSpPr>
        <xdr:cNvPr id="2" name="BtnApplyTheme">
          <a:extLst>
            <a:ext uri="{FF2B5EF4-FFF2-40B4-BE49-F238E27FC236}">
              <a16:creationId xmlns:a16="http://schemas.microsoft.com/office/drawing/2014/main" id="{1E70AA2E-1E1E-0C36-922A-BDD7C5790E18}"/>
            </a:ext>
          </a:extLst>
        </xdr:cNvPr>
        <xdr:cNvSpPr/>
      </xdr:nvSpPr>
      <xdr:spPr>
        <a:xfrm>
          <a:off x="4835525" y="609600"/>
          <a:ext cx="1143000" cy="215900"/>
        </a:xfrm>
        <a:prstGeom prst="roundRect">
          <a:avLst/>
        </a:prstGeom>
        <a:solidFill>
          <a:srgbClr val="4F46E5"/>
        </a:solidFill>
        <a:ln w="25400" cap="flat" cmpd="sng" algn="ctr">
          <a:noFill/>
          <a:prstDash val="solid"/>
        </a:ln>
        <a:effectLst>
          <a:outerShdw blurRad="63500" dist="37027" dir="2598831" algn="tl">
            <a:srgbClr val="000000">
              <a:alpha val="20000"/>
            </a:srgbClr>
          </a:outerShdw>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Apply Theme</a:t>
          </a:r>
        </a:p>
      </xdr:txBody>
    </xdr:sp>
    <xdr:clientData/>
  </xdr:twoCellAnchor>
  <xdr:twoCellAnchor>
    <xdr:from>
      <xdr:col>9</xdr:col>
      <xdr:colOff>114300</xdr:colOff>
      <xdr:row>2</xdr:row>
      <xdr:rowOff>0</xdr:rowOff>
    </xdr:from>
    <xdr:to>
      <xdr:col>11</xdr:col>
      <xdr:colOff>38100</xdr:colOff>
      <xdr:row>3</xdr:row>
      <xdr:rowOff>25400</xdr:rowOff>
    </xdr:to>
    <xdr:sp macro="[2]!ExportDashboardToPDF" textlink="">
      <xdr:nvSpPr>
        <xdr:cNvPr id="3" name="BtnExportPDF">
          <a:extLst>
            <a:ext uri="{FF2B5EF4-FFF2-40B4-BE49-F238E27FC236}">
              <a16:creationId xmlns:a16="http://schemas.microsoft.com/office/drawing/2014/main" id="{9663BC38-E927-5EB1-7208-15644133A7CB}"/>
            </a:ext>
          </a:extLst>
        </xdr:cNvPr>
        <xdr:cNvSpPr/>
      </xdr:nvSpPr>
      <xdr:spPr>
        <a:xfrm>
          <a:off x="6105525" y="609600"/>
          <a:ext cx="1143000" cy="215900"/>
        </a:xfrm>
        <a:prstGeom prst="roundRect">
          <a:avLst/>
        </a:prstGeom>
        <a:solidFill>
          <a:srgbClr val="DC2626"/>
        </a:solidFill>
        <a:ln w="25400" cap="flat" cmpd="sng" algn="ctr">
          <a:noFill/>
          <a:prstDash val="solid"/>
        </a:ln>
        <a:effectLst>
          <a:outerShdw blurRad="63500" dist="37027" dir="2598831" algn="tl">
            <a:srgbClr val="000000">
              <a:alpha val="20000"/>
            </a:srgbClr>
          </a:outerShdw>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Export PDF</a:t>
          </a:r>
        </a:p>
      </xdr:txBody>
    </xdr:sp>
    <xdr:clientData/>
  </xdr:twoCellAnchor>
  <xdr:twoCellAnchor>
    <xdr:from>
      <xdr:col>11</xdr:col>
      <xdr:colOff>165100</xdr:colOff>
      <xdr:row>2</xdr:row>
      <xdr:rowOff>0</xdr:rowOff>
    </xdr:from>
    <xdr:to>
      <xdr:col>13</xdr:col>
      <xdr:colOff>88900</xdr:colOff>
      <xdr:row>3</xdr:row>
      <xdr:rowOff>25400</xdr:rowOff>
    </xdr:to>
    <xdr:sp macro="[2]!ExportDashboardToPPT" textlink="">
      <xdr:nvSpPr>
        <xdr:cNvPr id="4" name="BtnExportPPT">
          <a:extLst>
            <a:ext uri="{FF2B5EF4-FFF2-40B4-BE49-F238E27FC236}">
              <a16:creationId xmlns:a16="http://schemas.microsoft.com/office/drawing/2014/main" id="{06047BCF-E530-B874-5F85-6F532DD910FD}"/>
            </a:ext>
          </a:extLst>
        </xdr:cNvPr>
        <xdr:cNvSpPr/>
      </xdr:nvSpPr>
      <xdr:spPr>
        <a:xfrm>
          <a:off x="7375525" y="609600"/>
          <a:ext cx="1143000" cy="215900"/>
        </a:xfrm>
        <a:prstGeom prst="roundRect">
          <a:avLst/>
        </a:prstGeom>
        <a:solidFill>
          <a:srgbClr val="F97316"/>
        </a:solidFill>
        <a:ln w="25400" cap="flat" cmpd="sng" algn="ctr">
          <a:noFill/>
          <a:prstDash val="solid"/>
        </a:ln>
        <a:effectLst>
          <a:outerShdw blurRad="63500" dist="37027" dir="2598831" algn="tl">
            <a:srgbClr val="000000">
              <a:alpha val="20000"/>
            </a:srgbClr>
          </a:outerShdw>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Export PPT</a:t>
          </a:r>
        </a:p>
      </xdr:txBody>
    </xdr:sp>
    <xdr:clientData/>
  </xdr:twoCellAnchor>
  <xdr:twoCellAnchor>
    <xdr:from>
      <xdr:col>13</xdr:col>
      <xdr:colOff>215900</xdr:colOff>
      <xdr:row>2</xdr:row>
      <xdr:rowOff>0</xdr:rowOff>
    </xdr:from>
    <xdr:to>
      <xdr:col>15</xdr:col>
      <xdr:colOff>139700</xdr:colOff>
      <xdr:row>3</xdr:row>
      <xdr:rowOff>25400</xdr:rowOff>
    </xdr:to>
    <xdr:sp macro="[2]!UpdateNativeDashboardData" textlink="">
      <xdr:nvSpPr>
        <xdr:cNvPr id="5" name="BtnRefreshData">
          <a:extLst>
            <a:ext uri="{FF2B5EF4-FFF2-40B4-BE49-F238E27FC236}">
              <a16:creationId xmlns:a16="http://schemas.microsoft.com/office/drawing/2014/main" id="{28E5A9D4-06EC-A545-6D7A-2AF532F41BC2}"/>
            </a:ext>
          </a:extLst>
        </xdr:cNvPr>
        <xdr:cNvSpPr/>
      </xdr:nvSpPr>
      <xdr:spPr>
        <a:xfrm>
          <a:off x="8645525" y="609600"/>
          <a:ext cx="1143000" cy="215900"/>
        </a:xfrm>
        <a:prstGeom prst="roundRect">
          <a:avLst/>
        </a:prstGeom>
        <a:solidFill>
          <a:srgbClr val="10B981"/>
        </a:solidFill>
        <a:ln w="25400" cap="flat" cmpd="sng" algn="ctr">
          <a:noFill/>
          <a:prstDash val="solid"/>
        </a:ln>
        <a:effectLst>
          <a:outerShdw blurRad="63500" dist="37027" dir="2598831" algn="tl">
            <a:srgbClr val="000000">
              <a:alpha val="20000"/>
            </a:srgbClr>
          </a:outerShdw>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latin typeface="Segoe UI" panose="020B0502040204020203" pitchFamily="34" charset="0"/>
            </a:rPr>
            <a:t>Refresh Data</a:t>
          </a:r>
        </a:p>
      </xdr:txBody>
    </xdr:sp>
    <xdr:clientData/>
  </xdr:twoCellAnchor>
  <xdr:twoCellAnchor>
    <xdr:from>
      <xdr:col>0</xdr:col>
      <xdr:colOff>508000</xdr:colOff>
      <xdr:row>4</xdr:row>
      <xdr:rowOff>88900</xdr:rowOff>
    </xdr:from>
    <xdr:to>
      <xdr:col>1</xdr:col>
      <xdr:colOff>1993900</xdr:colOff>
      <xdr:row>10</xdr:row>
      <xdr:rowOff>25400</xdr:rowOff>
    </xdr:to>
    <xdr:grpSp>
      <xdr:nvGrpSpPr>
        <xdr:cNvPr id="8" name="Group 7">
          <a:extLst>
            <a:ext uri="{FF2B5EF4-FFF2-40B4-BE49-F238E27FC236}">
              <a16:creationId xmlns:a16="http://schemas.microsoft.com/office/drawing/2014/main" id="{8AED3297-7A55-4CF3-2656-CAA05DB1FA80}"/>
            </a:ext>
          </a:extLst>
        </xdr:cNvPr>
        <xdr:cNvGrpSpPr/>
      </xdr:nvGrpSpPr>
      <xdr:grpSpPr>
        <a:xfrm>
          <a:off x="508000" y="1079500"/>
          <a:ext cx="2095500" cy="1079500"/>
          <a:chOff x="508000" y="1079500"/>
          <a:chExt cx="2095500" cy="1079500"/>
        </a:xfrm>
      </xdr:grpSpPr>
      <xdr:sp macro="" textlink="">
        <xdr:nvSpPr>
          <xdr:cNvPr id="6" name="Rectangle: Rounded Corners 5">
            <a:extLst>
              <a:ext uri="{FF2B5EF4-FFF2-40B4-BE49-F238E27FC236}">
                <a16:creationId xmlns:a16="http://schemas.microsoft.com/office/drawing/2014/main" id="{6383E1FD-D4D2-61B9-E42E-CC7FD65AC3CE}"/>
              </a:ext>
            </a:extLst>
          </xdr:cNvPr>
          <xdr:cNvSpPr/>
        </xdr:nvSpPr>
        <xdr:spPr>
          <a:xfrm>
            <a:off x="508000" y="1079500"/>
            <a:ext cx="2095500" cy="1079500"/>
          </a:xfrm>
          <a:prstGeom prst="roundRect">
            <a:avLst>
              <a:gd name="adj" fmla="val 12000"/>
            </a:avLst>
          </a:prstGeom>
          <a:solidFill>
            <a:srgbClr val="0B2438"/>
          </a:solidFill>
          <a:ln w="12700">
            <a:solidFill>
              <a:srgbClr val="112E42"/>
            </a:solidFill>
          </a:ln>
          <a:effectLst>
            <a:outerShdw blurRad="101600" dist="57502" dir="3723699" algn="tl">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190500" rIns="0" rtlCol="0" anchor="t"/>
          <a:lstStyle/>
          <a:p>
            <a:pPr algn="ctr"/>
            <a:r>
              <a:rPr lang="en-IN" sz="1100" b="1">
                <a:solidFill>
                  <a:srgbClr val="EDEDED"/>
                </a:solidFill>
                <a:latin typeface="Segoe UI" panose="020B0502040204020203" pitchFamily="34" charset="0"/>
              </a:rPr>
              <a:t>SUMMARY</a:t>
            </a:r>
          </a:p>
        </xdr:txBody>
      </xdr:sp>
      <xdr:sp macro="" textlink="Dash_Backend!$B$4">
        <xdr:nvSpPr>
          <xdr:cNvPr id="7" name="TextBox 6">
            <a:extLst>
              <a:ext uri="{FF2B5EF4-FFF2-40B4-BE49-F238E27FC236}">
                <a16:creationId xmlns:a16="http://schemas.microsoft.com/office/drawing/2014/main" id="{BA957461-F11A-FEEE-BB46-B920576FDE18}"/>
              </a:ext>
            </a:extLst>
          </xdr:cNvPr>
          <xdr:cNvSpPr txBox="1"/>
        </xdr:nvSpPr>
        <xdr:spPr>
          <a:xfrm>
            <a:off x="508000" y="1524000"/>
            <a:ext cx="2095500"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Ins="0" rtlCol="0" anchor="ctr"/>
          <a:lstStyle/>
          <a:p>
            <a:pPr algn="ctr"/>
            <a:fld id="{9764172F-202B-4FFA-8AF2-FE8ECCB94D18}" type="TxLink">
              <a:rPr lang="en-US" sz="1900" b="1" i="0" u="none" strike="noStrike">
                <a:solidFill>
                  <a:srgbClr val="00EEEE"/>
                </a:solidFill>
                <a:latin typeface="Segoe UI" panose="020B0502040204020203" pitchFamily="34" charset="0"/>
                <a:ea typeface="Calibri"/>
                <a:cs typeface="Calibri"/>
              </a:rPr>
              <a:pPr algn="ctr"/>
              <a:t>₹ 93.1M</a:t>
            </a:fld>
            <a:endParaRPr lang="en-IN" sz="1900" b="1">
              <a:solidFill>
                <a:srgbClr val="00EEEE"/>
              </a:solidFill>
              <a:latin typeface="Segoe UI" panose="020B0502040204020203" pitchFamily="34" charset="0"/>
            </a:endParaRPr>
          </a:p>
        </xdr:txBody>
      </xdr:sp>
    </xdr:grpSp>
    <xdr:clientData/>
  </xdr:twoCellAnchor>
  <xdr:twoCellAnchor>
    <xdr:from>
      <xdr:col>0</xdr:col>
      <xdr:colOff>508000</xdr:colOff>
      <xdr:row>13</xdr:row>
      <xdr:rowOff>25400</xdr:rowOff>
    </xdr:from>
    <xdr:to>
      <xdr:col>6</xdr:col>
      <xdr:colOff>403225</xdr:colOff>
      <xdr:row>32</xdr:row>
      <xdr:rowOff>88900</xdr:rowOff>
    </xdr:to>
    <xdr:graphicFrame macro="">
      <xdr:nvGraphicFramePr>
        <xdr:cNvPr id="12" name="Chart 11">
          <a:extLst>
            <a:ext uri="{FF2B5EF4-FFF2-40B4-BE49-F238E27FC236}">
              <a16:creationId xmlns:a16="http://schemas.microsoft.com/office/drawing/2014/main" id="{0AF75E27-6EC0-3ABE-ADD2-A8C6035AB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508000</xdr:colOff>
      <xdr:row>34</xdr:row>
      <xdr:rowOff>152400</xdr:rowOff>
    </xdr:from>
    <xdr:to>
      <xdr:col>6</xdr:col>
      <xdr:colOff>403225</xdr:colOff>
      <xdr:row>54</xdr:row>
      <xdr:rowOff>25400</xdr:rowOff>
    </xdr:to>
    <xdr:graphicFrame macro="">
      <xdr:nvGraphicFramePr>
        <xdr:cNvPr id="16" name="Chart 15">
          <a:extLst>
            <a:ext uri="{FF2B5EF4-FFF2-40B4-BE49-F238E27FC236}">
              <a16:creationId xmlns:a16="http://schemas.microsoft.com/office/drawing/2014/main" id="{1407F02C-7134-C187-83B4-B4AE7E914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784225</xdr:colOff>
      <xdr:row>34</xdr:row>
      <xdr:rowOff>88900</xdr:rowOff>
    </xdr:from>
    <xdr:to>
      <xdr:col>17</xdr:col>
      <xdr:colOff>431800</xdr:colOff>
      <xdr:row>53</xdr:row>
      <xdr:rowOff>152400</xdr:rowOff>
    </xdr:to>
    <xdr:graphicFrame macro="">
      <xdr:nvGraphicFramePr>
        <xdr:cNvPr id="18" name="Chart 17">
          <a:extLst>
            <a:ext uri="{FF2B5EF4-FFF2-40B4-BE49-F238E27FC236}">
              <a16:creationId xmlns:a16="http://schemas.microsoft.com/office/drawing/2014/main" id="{7D1E59D3-2875-66B0-95A0-C48234741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1</xdr:row>
      <xdr:rowOff>0</xdr:rowOff>
    </xdr:from>
    <xdr:to>
      <xdr:col>1</xdr:col>
      <xdr:colOff>660900</xdr:colOff>
      <xdr:row>1</xdr:row>
      <xdr:rowOff>374400</xdr:rowOff>
    </xdr:to>
    <xdr:sp macro="[2]!'NavigateHome &quot;Sheet_Index&quot;'" textlink="">
      <xdr:nvSpPr>
        <xdr:cNvPr id="9" name="BackButton">
          <a:extLst>
            <a:ext uri="{FF2B5EF4-FFF2-40B4-BE49-F238E27FC236}">
              <a16:creationId xmlns:a16="http://schemas.microsoft.com/office/drawing/2014/main" id="{B1C2E8D3-43DF-D833-7E1A-5818371EC0FD}"/>
            </a:ext>
          </a:extLst>
        </xdr:cNvPr>
        <xdr:cNvSpPr/>
      </xdr:nvSpPr>
      <xdr:spPr>
        <a:xfrm>
          <a:off x="190500" y="190500"/>
          <a:ext cx="1080000" cy="374400"/>
        </a:xfrm>
        <a:prstGeom prst="roundRect">
          <a:avLst/>
        </a:prstGeom>
        <a:solidFill>
          <a:srgbClr val="0F9ED5"/>
        </a:solidFill>
        <a:ln w="9525">
          <a:solidFill>
            <a:srgbClr val="0A78A5"/>
          </a:solidFill>
        </a:ln>
        <a:effectLst>
          <a:prstShdw prst="shdw6" dist="107763" dir="2700000">
            <a:scrgbClr r="0" g="0" b="0">
              <a:alpha val="50000"/>
            </a:scrgbClr>
          </a:prst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FFFFFF"/>
              </a:solidFill>
              <a:latin typeface="Segoe UI" panose="020B0502040204020203" pitchFamily="34" charset="0"/>
            </a:rPr>
            <a:t>Back to Home</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10</xdr:col>
      <xdr:colOff>495299</xdr:colOff>
      <xdr:row>13</xdr:row>
      <xdr:rowOff>57150</xdr:rowOff>
    </xdr:from>
    <xdr:to>
      <xdr:col>11</xdr:col>
      <xdr:colOff>628650</xdr:colOff>
      <xdr:row>19</xdr:row>
      <xdr:rowOff>180975</xdr:rowOff>
    </xdr:to>
    <mc:AlternateContent xmlns:mc="http://schemas.openxmlformats.org/markup-compatibility/2006" xmlns:sle15="http://schemas.microsoft.com/office/drawing/2012/slicer">
      <mc:Choice Requires="sle15">
        <xdr:graphicFrame macro="">
          <xdr:nvGraphicFramePr>
            <xdr:cNvPr id="3" name="Name">
              <a:extLst>
                <a:ext uri="{FF2B5EF4-FFF2-40B4-BE49-F238E27FC236}">
                  <a16:creationId xmlns:a16="http://schemas.microsoft.com/office/drawing/2014/main" id="{29753583-D6FC-D22D-83F6-9C68AE0B40B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896349" y="2914650"/>
              <a:ext cx="1143001" cy="12668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85725</xdr:colOff>
      <xdr:row>44</xdr:row>
      <xdr:rowOff>19050</xdr:rowOff>
    </xdr:from>
    <xdr:to>
      <xdr:col>14</xdr:col>
      <xdr:colOff>9525</xdr:colOff>
      <xdr:row>57</xdr:row>
      <xdr:rowOff>66675</xdr:rowOff>
    </xdr:to>
    <mc:AlternateContent xmlns:mc="http://schemas.openxmlformats.org/markup-compatibility/2006" xmlns:sle15="http://schemas.microsoft.com/office/drawing/2012/slicer">
      <mc:Choice Requires="sle15">
        <xdr:graphicFrame macro="">
          <xdr:nvGraphicFramePr>
            <xdr:cNvPr id="298" name="Invoice Disc Tranch">
              <a:extLst>
                <a:ext uri="{FF2B5EF4-FFF2-40B4-BE49-F238E27FC236}">
                  <a16:creationId xmlns:a16="http://schemas.microsoft.com/office/drawing/2014/main" id="{E4596509-25FA-1027-E299-65FE980B4832}"/>
                </a:ext>
              </a:extLst>
            </xdr:cNvPr>
            <xdr:cNvGraphicFramePr/>
          </xdr:nvGraphicFramePr>
          <xdr:xfrm>
            <a:off x="0" y="0"/>
            <a:ext cx="0" cy="0"/>
          </xdr:xfrm>
          <a:graphic>
            <a:graphicData uri="http://schemas.microsoft.com/office/drawing/2010/slicer">
              <sle:slicer xmlns:sle="http://schemas.microsoft.com/office/drawing/2010/slicer" name="Invoice Disc Tranch"/>
            </a:graphicData>
          </a:graphic>
        </xdr:graphicFrame>
      </mc:Choice>
      <mc:Fallback xmlns="">
        <xdr:sp macro="" textlink="">
          <xdr:nvSpPr>
            <xdr:cNvPr id="0" name=""/>
            <xdr:cNvSpPr>
              <a:spLocks noTextEdit="1"/>
            </xdr:cNvSpPr>
          </xdr:nvSpPr>
          <xdr:spPr>
            <a:xfrm>
              <a:off x="11382375" y="897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190500</xdr:colOff>
      <xdr:row>1</xdr:row>
      <xdr:rowOff>0</xdr:rowOff>
    </xdr:from>
    <xdr:to>
      <xdr:col>2</xdr:col>
      <xdr:colOff>346575</xdr:colOff>
      <xdr:row>1</xdr:row>
      <xdr:rowOff>374400</xdr:rowOff>
    </xdr:to>
    <xdr:sp macro="[2]!'NavigateHome &quot;Sheet_Index&quot;'" textlink="">
      <xdr:nvSpPr>
        <xdr:cNvPr id="319" name="BackButton">
          <a:extLst>
            <a:ext uri="{FF2B5EF4-FFF2-40B4-BE49-F238E27FC236}">
              <a16:creationId xmlns:a16="http://schemas.microsoft.com/office/drawing/2014/main" id="{0C0106D3-4824-8FEE-FD49-F3BAD76BDFC5}"/>
            </a:ext>
          </a:extLst>
        </xdr:cNvPr>
        <xdr:cNvSpPr/>
      </xdr:nvSpPr>
      <xdr:spPr>
        <a:xfrm>
          <a:off x="190500" y="190500"/>
          <a:ext cx="1080000" cy="374400"/>
        </a:xfrm>
        <a:prstGeom prst="roundRect">
          <a:avLst/>
        </a:prstGeom>
        <a:solidFill>
          <a:srgbClr val="0F9ED5"/>
        </a:solidFill>
        <a:ln w="9525">
          <a:solidFill>
            <a:srgbClr val="0A78A5"/>
          </a:solidFill>
        </a:ln>
        <a:effectLst>
          <a:prstShdw prst="shdw6" dist="107763" dir="2700000">
            <a:scrgbClr r="0" g="0" b="0">
              <a:alpha val="50000"/>
            </a:scrgbClr>
          </a:prst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FFFFFF"/>
              </a:solidFill>
              <a:latin typeface="Segoe UI" panose="020B0502040204020203" pitchFamily="34" charset="0"/>
            </a:rPr>
            <a:t>Back to Home</a:t>
          </a:r>
        </a:p>
      </xdr:txBody>
    </xdr:sp>
    <xdr:clientData/>
  </xdr:twoCellAnchor>
  <xdr:twoCellAnchor editAs="absolute">
    <xdr:from>
      <xdr:col>9</xdr:col>
      <xdr:colOff>819150</xdr:colOff>
      <xdr:row>150</xdr:row>
      <xdr:rowOff>9525</xdr:rowOff>
    </xdr:from>
    <xdr:to>
      <xdr:col>11</xdr:col>
      <xdr:colOff>638175</xdr:colOff>
      <xdr:row>163</xdr:row>
      <xdr:rowOff>57150</xdr:rowOff>
    </xdr:to>
    <mc:AlternateContent xmlns:mc="http://schemas.openxmlformats.org/markup-compatibility/2006">
      <mc:Choice xmlns:sle15="http://schemas.microsoft.com/office/drawing/2012/slicer" Requires="sle15">
        <xdr:graphicFrame macro="">
          <xdr:nvGraphicFramePr>
            <xdr:cNvPr id="325" name="Instrument Date">
              <a:extLst>
                <a:ext uri="{FF2B5EF4-FFF2-40B4-BE49-F238E27FC236}">
                  <a16:creationId xmlns:a16="http://schemas.microsoft.com/office/drawing/2014/main" id="{5161ED0E-0395-029A-D2E9-6A69A631122F}"/>
                </a:ext>
              </a:extLst>
            </xdr:cNvPr>
            <xdr:cNvGraphicFramePr/>
          </xdr:nvGraphicFramePr>
          <xdr:xfrm>
            <a:off x="0" y="0"/>
            <a:ext cx="0" cy="0"/>
          </xdr:xfrm>
          <a:graphic>
            <a:graphicData uri="http://schemas.microsoft.com/office/drawing/2010/slicer">
              <sle:slicer xmlns:sle="http://schemas.microsoft.com/office/drawing/2010/slicer" name="Instrument Date"/>
            </a:graphicData>
          </a:graphic>
        </xdr:graphicFrame>
      </mc:Choice>
      <mc:Fallback>
        <xdr:sp macro="" textlink="">
          <xdr:nvSpPr>
            <xdr:cNvPr id="0" name=""/>
            <xdr:cNvSpPr>
              <a:spLocks noTextEdit="1"/>
            </xdr:cNvSpPr>
          </xdr:nvSpPr>
          <xdr:spPr>
            <a:xfrm>
              <a:off x="8220075" y="29194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1</xdr:row>
      <xdr:rowOff>0</xdr:rowOff>
    </xdr:from>
    <xdr:to>
      <xdr:col>1</xdr:col>
      <xdr:colOff>841875</xdr:colOff>
      <xdr:row>2</xdr:row>
      <xdr:rowOff>183900</xdr:rowOff>
    </xdr:to>
    <xdr:sp macro="[2]!'NavigateHome &quot;Sheet_Index&quot;'" textlink="">
      <xdr:nvSpPr>
        <xdr:cNvPr id="2" name="BackButton">
          <a:extLst>
            <a:ext uri="{FF2B5EF4-FFF2-40B4-BE49-F238E27FC236}">
              <a16:creationId xmlns:a16="http://schemas.microsoft.com/office/drawing/2014/main" id="{0E302B0B-B44E-71AB-FAB4-D9CB25E4EDC8}"/>
            </a:ext>
          </a:extLst>
        </xdr:cNvPr>
        <xdr:cNvSpPr/>
      </xdr:nvSpPr>
      <xdr:spPr>
        <a:xfrm>
          <a:off x="190500" y="190500"/>
          <a:ext cx="1080000" cy="374400"/>
        </a:xfrm>
        <a:prstGeom prst="roundRect">
          <a:avLst/>
        </a:prstGeom>
        <a:solidFill>
          <a:srgbClr val="0F9ED5"/>
        </a:solidFill>
        <a:ln w="9525">
          <a:solidFill>
            <a:srgbClr val="0A78A5"/>
          </a:solidFill>
        </a:ln>
        <a:effectLst>
          <a:prstShdw prst="shdw6" dist="107763" dir="2700000">
            <a:scrgbClr r="0" g="0" b="0">
              <a:alpha val="50000"/>
            </a:scrgbClr>
          </a:prst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FFFFFF"/>
              </a:solidFill>
              <a:latin typeface="Segoe UI" panose="020B0502040204020203" pitchFamily="34" charset="0"/>
            </a:rPr>
            <a:t>Back to Home</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0</xdr:col>
          <xdr:colOff>914400</xdr:colOff>
          <xdr:row>38</xdr:row>
          <xdr:rowOff>19050</xdr:rowOff>
        </xdr:to>
        <xdr:sp macro="" textlink="">
          <xdr:nvSpPr>
            <xdr:cNvPr id="10241" name="Control 1" hidden="1">
              <a:extLst>
                <a:ext uri="{63B3BB69-23CF-44E3-9099-C40C66FF867C}">
                  <a14:compatExt spid="_x0000_s10241"/>
                </a:ext>
                <a:ext uri="{FF2B5EF4-FFF2-40B4-BE49-F238E27FC236}">
                  <a16:creationId xmlns:a16="http://schemas.microsoft.com/office/drawing/2014/main" id="{00000000-0008-0000-0600-00000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0</xdr:col>
          <xdr:colOff>914400</xdr:colOff>
          <xdr:row>40</xdr:row>
          <xdr:rowOff>209550</xdr:rowOff>
        </xdr:to>
        <xdr:sp macro="" textlink="">
          <xdr:nvSpPr>
            <xdr:cNvPr id="10242" name="Control 2" hidden="1">
              <a:extLst>
                <a:ext uri="{63B3BB69-23CF-44E3-9099-C40C66FF867C}">
                  <a14:compatExt spid="_x0000_s10242"/>
                </a:ext>
                <a:ext uri="{FF2B5EF4-FFF2-40B4-BE49-F238E27FC236}">
                  <a16:creationId xmlns:a16="http://schemas.microsoft.com/office/drawing/2014/main" id="{00000000-0008-0000-0600-000002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0</xdr:col>
          <xdr:colOff>914400</xdr:colOff>
          <xdr:row>68</xdr:row>
          <xdr:rowOff>0</xdr:rowOff>
        </xdr:to>
        <xdr:sp macro="" textlink="">
          <xdr:nvSpPr>
            <xdr:cNvPr id="10243" name="Control 3" hidden="1">
              <a:extLst>
                <a:ext uri="{63B3BB69-23CF-44E3-9099-C40C66FF867C}">
                  <a14:compatExt spid="_x0000_s10243"/>
                </a:ext>
                <a:ext uri="{FF2B5EF4-FFF2-40B4-BE49-F238E27FC236}">
                  <a16:creationId xmlns:a16="http://schemas.microsoft.com/office/drawing/2014/main" id="{00000000-0008-0000-0600-000003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190500</xdr:colOff>
      <xdr:row>0</xdr:row>
      <xdr:rowOff>190500</xdr:rowOff>
    </xdr:from>
    <xdr:to>
      <xdr:col>0</xdr:col>
      <xdr:colOff>1270500</xdr:colOff>
      <xdr:row>0</xdr:row>
      <xdr:rowOff>564900</xdr:rowOff>
    </xdr:to>
    <xdr:sp macro="[2]!'NavigateHome &quot;Sheet_Index&quot;'" textlink="">
      <xdr:nvSpPr>
        <xdr:cNvPr id="2" name="BackButton">
          <a:extLst>
            <a:ext uri="{FF2B5EF4-FFF2-40B4-BE49-F238E27FC236}">
              <a16:creationId xmlns:a16="http://schemas.microsoft.com/office/drawing/2014/main" id="{F75962BD-F200-0DAD-F74F-6F4D32101C36}"/>
            </a:ext>
          </a:extLst>
        </xdr:cNvPr>
        <xdr:cNvSpPr/>
      </xdr:nvSpPr>
      <xdr:spPr>
        <a:xfrm>
          <a:off x="190500" y="190500"/>
          <a:ext cx="1080000" cy="374400"/>
        </a:xfrm>
        <a:prstGeom prst="roundRect">
          <a:avLst/>
        </a:prstGeom>
        <a:solidFill>
          <a:srgbClr val="0F9ED5"/>
        </a:solidFill>
        <a:ln w="9525">
          <a:solidFill>
            <a:srgbClr val="0A78A5"/>
          </a:solidFill>
        </a:ln>
        <a:effectLst>
          <a:prstShdw prst="shdw6" dist="107763" dir="2700000">
            <a:scrgbClr r="0" g="0" b="0">
              <a:alpha val="50000"/>
            </a:scrgbClr>
          </a:prst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FFFFFF"/>
              </a:solidFill>
              <a:latin typeface="Segoe UI" panose="020B0502040204020203" pitchFamily="34" charset="0"/>
            </a:rPr>
            <a:t>Back to Home</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10</xdr:col>
      <xdr:colOff>657224</xdr:colOff>
      <xdr:row>13</xdr:row>
      <xdr:rowOff>57150</xdr:rowOff>
    </xdr:from>
    <xdr:to>
      <xdr:col>11</xdr:col>
      <xdr:colOff>800100</xdr:colOff>
      <xdr:row>19</xdr:row>
      <xdr:rowOff>180975</xdr:rowOff>
    </xdr:to>
    <mc:AlternateContent xmlns:mc="http://schemas.openxmlformats.org/markup-compatibility/2006" xmlns:sle15="http://schemas.microsoft.com/office/drawing/2012/slicer">
      <mc:Choice Requires="sle15">
        <xdr:graphicFrame macro="">
          <xdr:nvGraphicFramePr>
            <xdr:cNvPr id="2" name="Name 1">
              <a:extLst>
                <a:ext uri="{FF2B5EF4-FFF2-40B4-BE49-F238E27FC236}">
                  <a16:creationId xmlns:a16="http://schemas.microsoft.com/office/drawing/2014/main" id="{5FE7D4EC-E1D4-49A5-8044-47611EF82C5E}"/>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8896349" y="3105150"/>
              <a:ext cx="1143001" cy="12668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276225</xdr:colOff>
      <xdr:row>44</xdr:row>
      <xdr:rowOff>19050</xdr:rowOff>
    </xdr:from>
    <xdr:to>
      <xdr:col>14</xdr:col>
      <xdr:colOff>200025</xdr:colOff>
      <xdr:row>57</xdr:row>
      <xdr:rowOff>66675</xdr:rowOff>
    </xdr:to>
    <mc:AlternateContent xmlns:mc="http://schemas.openxmlformats.org/markup-compatibility/2006" xmlns:sle15="http://schemas.microsoft.com/office/drawing/2012/slicer">
      <mc:Choice Requires="sle15">
        <xdr:graphicFrame macro="">
          <xdr:nvGraphicFramePr>
            <xdr:cNvPr id="3" name="Invoice Disc Tranch 1">
              <a:extLst>
                <a:ext uri="{FF2B5EF4-FFF2-40B4-BE49-F238E27FC236}">
                  <a16:creationId xmlns:a16="http://schemas.microsoft.com/office/drawing/2014/main" id="{B1A5B730-C41D-407B-841A-1B8A703099F4}"/>
                </a:ext>
              </a:extLst>
            </xdr:cNvPr>
            <xdr:cNvGraphicFramePr/>
          </xdr:nvGraphicFramePr>
          <xdr:xfrm>
            <a:off x="0" y="0"/>
            <a:ext cx="0" cy="0"/>
          </xdr:xfrm>
          <a:graphic>
            <a:graphicData uri="http://schemas.microsoft.com/office/drawing/2010/slicer">
              <sle:slicer xmlns:sle="http://schemas.microsoft.com/office/drawing/2010/slicer" name="Invoice Disc Tranch 1"/>
            </a:graphicData>
          </a:graphic>
        </xdr:graphicFrame>
      </mc:Choice>
      <mc:Fallback xmlns="">
        <xdr:sp macro="" textlink="">
          <xdr:nvSpPr>
            <xdr:cNvPr id="0" name=""/>
            <xdr:cNvSpPr>
              <a:spLocks noTextEdit="1"/>
            </xdr:cNvSpPr>
          </xdr:nvSpPr>
          <xdr:spPr>
            <a:xfrm>
              <a:off x="11382375" y="897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190500</xdr:colOff>
      <xdr:row>1</xdr:row>
      <xdr:rowOff>0</xdr:rowOff>
    </xdr:from>
    <xdr:to>
      <xdr:col>2</xdr:col>
      <xdr:colOff>346575</xdr:colOff>
      <xdr:row>1</xdr:row>
      <xdr:rowOff>374400</xdr:rowOff>
    </xdr:to>
    <xdr:sp macro="[2]!'NavigateHome &quot;Sheet_Index&quot;'" textlink="">
      <xdr:nvSpPr>
        <xdr:cNvPr id="4" name="BackButton">
          <a:extLst>
            <a:ext uri="{FF2B5EF4-FFF2-40B4-BE49-F238E27FC236}">
              <a16:creationId xmlns:a16="http://schemas.microsoft.com/office/drawing/2014/main" id="{8CC6BAE5-117C-4921-B82E-BE9C2620047B}"/>
            </a:ext>
          </a:extLst>
        </xdr:cNvPr>
        <xdr:cNvSpPr/>
      </xdr:nvSpPr>
      <xdr:spPr>
        <a:xfrm>
          <a:off x="190500" y="190500"/>
          <a:ext cx="1080000" cy="374400"/>
        </a:xfrm>
        <a:prstGeom prst="roundRect">
          <a:avLst/>
        </a:prstGeom>
        <a:solidFill>
          <a:srgbClr val="0F9ED5"/>
        </a:solidFill>
        <a:ln w="9525">
          <a:solidFill>
            <a:srgbClr val="0A78A5"/>
          </a:solidFill>
        </a:ln>
        <a:effectLst>
          <a:prstShdw prst="shdw6" dist="107763" dir="2700000">
            <a:scrgbClr r="0" g="0" b="0">
              <a:alpha val="50000"/>
            </a:scrgbClr>
          </a:prst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FFFFFF"/>
              </a:solidFill>
              <a:latin typeface="Segoe UI" panose="020B0502040204020203" pitchFamily="34" charset="0"/>
            </a:rPr>
            <a:t>Back to Home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ccount\E\RAKESH\INVOICE%20DISCOUNTING\EXPORT%20INVOICE%20DISCOUNTING%202026-27.xlsx" TargetMode="External"/><Relationship Id="rId1" Type="http://schemas.openxmlformats.org/officeDocument/2006/relationships/externalLinkPath" Target="EXPORT%20INVOICE%20DISCOUNTING%202026-27.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min\AppData\Roaming\Microsoft\AddIns\XLBooster.xlam" TargetMode="External"/><Relationship Id="rId1" Type="http://schemas.openxmlformats.org/officeDocument/2006/relationships/externalLinkPath" Target="file:///C:\Users\Admin\AppData\Roaming\Microsoft\AddIns\XLBooster.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2024-2511"/>
      <sheetName val="Sheet2"/>
      <sheetName val="Sheet3"/>
      <sheetName val="Sheet1"/>
      <sheetName val="PO WISE"/>
      <sheetName val="2024-25"/>
      <sheetName val="Sheet5"/>
      <sheetName val="2025-26"/>
      <sheetName val="2026-27"/>
      <sheetName val="Sheet8"/>
      <sheetName val="Sheet9"/>
      <sheetName val="Sheet7"/>
      <sheetName val="Shee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CLIPBOARD_TEMP__"/>
      <sheetName val="__ExportLog"/>
      <sheetName val="SJ_TickFormats"/>
      <sheetName val="Sheet1"/>
      <sheetName val="_data12345"/>
      <sheetName val="XLBooster_MaskStore"/>
    </sheetNames>
    <definedNames>
      <definedName name="ExportDashboardToPDF"/>
      <definedName name="ExportDashboardToPPT"/>
      <definedName name="NavigateHome &quot;Sheet_Index&quot;"/>
      <definedName name="UpdateDashboardTheme"/>
      <definedName name="UpdateNativeDashboardData"/>
      <definedName name="UserAddChart"/>
      <definedName name="UserAddKPI"/>
    </defined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6689817" createdVersion="8" refreshedVersion="8" minRefreshableVersion="3" recordCount="115" xr:uid="{FA7F5399-C234-4BF0-B5C0-CCC92DD5DE5C}">
  <cacheSource type="worksheet">
    <worksheetSource ref="A1:AC117"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14"/>
    </cacheField>
    <cacheField name="Account Code" numFmtId="0">
      <sharedItems/>
    </cacheField>
    <cacheField name="Debtor Code" numFmtId="0">
      <sharedItems/>
    </cacheField>
    <cacheField name="Instrument Type" numFmtId="0">
      <sharedItems/>
    </cacheField>
    <cacheField name="Instrument Number" numFmtId="0">
      <sharedItems/>
    </cacheField>
    <cacheField name="Instrument Date" numFmtId="0">
      <sharedItems containsDate="1" containsMixedTypes="1" minDate="2025-12-29T00:00:00" maxDate="2026-04-27T00:00:00"/>
    </cacheField>
    <cacheField name="Instrument Currency" numFmtId="0">
      <sharedItems/>
    </cacheField>
    <cacheField name="Instrument Amount" numFmtId="0">
      <sharedItems containsMixedTypes="1" containsNumber="1" minValue="5560.16" maxValue="82518855.550000027" count="53">
        <s v="Instrument Amount"/>
        <n v="561855.81999999995"/>
        <n v="442595.58"/>
        <n v="752314.9"/>
        <n v="689850.92"/>
        <n v="232106"/>
        <n v="647363.34"/>
        <n v="774998.04"/>
        <n v="147186.12"/>
        <n v="661895.04"/>
        <n v="506008.78"/>
        <n v="483325.64"/>
        <n v="1006923.5"/>
        <n v="671243"/>
        <n v="481668.92"/>
        <n v="873873.78"/>
        <n v="455946.1"/>
        <n v="684578.18"/>
        <n v="75263.94"/>
        <n v="574467.66"/>
        <n v="764307.41"/>
        <n v="822460"/>
        <n v="766484.34"/>
        <n v="1069198"/>
        <n v="916860"/>
        <n v="848001.1"/>
        <n v="1151810.98"/>
        <n v="17142711.34"/>
        <n v="40214"/>
        <n v="10602"/>
        <n v="4838730"/>
        <n v="84594.2"/>
        <n v="92346.8"/>
        <n v="8340.24"/>
        <n v="1324019"/>
        <n v="548932.46"/>
        <n v="1132374.02"/>
        <n v="2100392.92"/>
        <n v="2956569.06"/>
        <n v="451109.28"/>
        <n v="155809.56"/>
        <n v="1625674.2"/>
        <n v="1627034.74"/>
        <n v="5560.16"/>
        <n v="357129.36"/>
        <n v="418134.18"/>
        <n v="479139"/>
        <n v="692866.5"/>
        <n v="230361.96"/>
        <n v="129841.3"/>
        <n v="150509"/>
        <n v="82518855.550000027" u="1"/>
        <n v="42814483.800000027" u="1"/>
      </sharedItems>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4-28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27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15428440.206"/>
    </cacheField>
    <cacheField name="Name of Shipping Company" numFmtId="0">
      <sharedItems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133" maxValue="318967"/>
    </cacheField>
    <cacheField name="GSTIN" numFmtId="0">
      <sharedItems containsMixedTypes="1" containsNumber="1" minValue="4863.1440000000002" maxValue="15109473.206"/>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7037041" createdVersion="8" refreshedVersion="8" minRefreshableVersion="3" recordCount="115" xr:uid="{C6BE1916-ADA6-4C3D-983A-3C920A19AC55}">
  <cacheSource type="worksheet">
    <worksheetSource ref="A1:AC117"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14"/>
    </cacheField>
    <cacheField name="Account Code" numFmtId="0">
      <sharedItems/>
    </cacheField>
    <cacheField name="Debtor Code" numFmtId="0">
      <sharedItems/>
    </cacheField>
    <cacheField name="Instrument Type" numFmtId="0">
      <sharedItems/>
    </cacheField>
    <cacheField name="Instrument Number" numFmtId="0">
      <sharedItems/>
    </cacheField>
    <cacheField name="Instrument Date" numFmtId="0">
      <sharedItems containsDate="1" containsMixedTypes="1" minDate="2025-12-29T00:00:00" maxDate="2026-04-27T00:00:00"/>
    </cacheField>
    <cacheField name="Instrument Currency" numFmtId="0">
      <sharedItems/>
    </cacheField>
    <cacheField name="Instrument Amount" numFmtId="0">
      <sharedItems containsMixedTypes="1" containsNumber="1" minValue="5560.16" maxValue="82518855.550000027" count="53">
        <s v="Instrument Amount"/>
        <n v="561855.81999999995"/>
        <n v="442595.58"/>
        <n v="752314.9"/>
        <n v="689850.92"/>
        <n v="232106"/>
        <n v="647363.34"/>
        <n v="774998.04"/>
        <n v="147186.12"/>
        <n v="661895.04"/>
        <n v="506008.78"/>
        <n v="483325.64"/>
        <n v="1006923.5"/>
        <n v="671243"/>
        <n v="481668.92"/>
        <n v="873873.78"/>
        <n v="455946.1"/>
        <n v="684578.18"/>
        <n v="75263.94"/>
        <n v="574467.66"/>
        <n v="764307.41"/>
        <n v="822460"/>
        <n v="766484.34"/>
        <n v="1069198"/>
        <n v="916860"/>
        <n v="848001.1"/>
        <n v="1151810.98"/>
        <n v="17142711.34"/>
        <n v="40214"/>
        <n v="10602"/>
        <n v="4838730"/>
        <n v="84594.2"/>
        <n v="92346.8"/>
        <n v="8340.24"/>
        <n v="1324019"/>
        <n v="548932.46"/>
        <n v="1132374.02"/>
        <n v="2100392.92"/>
        <n v="2956569.06"/>
        <n v="451109.28"/>
        <n v="155809.56"/>
        <n v="1625674.2"/>
        <n v="1627034.74"/>
        <n v="5560.16"/>
        <n v="357129.36"/>
        <n v="418134.18"/>
        <n v="479139"/>
        <n v="692866.5"/>
        <n v="230361.96"/>
        <n v="129841.3"/>
        <n v="150509"/>
        <n v="82518855.550000027" u="1"/>
        <n v="42814483.800000027" u="1"/>
      </sharedItems>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4-28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27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15428440.206"/>
    </cacheField>
    <cacheField name="Name of Shipping Company" numFmtId="0">
      <sharedItems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133" maxValue="318967"/>
    </cacheField>
    <cacheField name="GSTIN" numFmtId="0">
      <sharedItems containsMixedTypes="1" containsNumber="1" minValue="4863.1440000000002" maxValue="15109473.206"/>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7152779" createdVersion="8" refreshedVersion="8" minRefreshableVersion="3" recordCount="115" xr:uid="{16130040-4052-4E68-8CE7-55557539BE0A}">
  <cacheSource type="worksheet">
    <worksheetSource ref="A1:AC117"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14"/>
    </cacheField>
    <cacheField name="Account Code" numFmtId="0">
      <sharedItems/>
    </cacheField>
    <cacheField name="Debtor Code" numFmtId="0">
      <sharedItems containsBlank="1" count="5">
        <s v="Debtor Code"/>
        <s v="INDUSTOWER"/>
        <s v="RELIANCEIN"/>
        <s v="SIEMENSLTD"/>
        <m u="1"/>
      </sharedItems>
    </cacheField>
    <cacheField name="Instrument Type" numFmtId="0">
      <sharedItems/>
    </cacheField>
    <cacheField name="Instrument Number" numFmtId="0">
      <sharedItems/>
    </cacheField>
    <cacheField name="Instrument Date" numFmtId="0">
      <sharedItems containsDate="1" containsMixedTypes="1" minDate="2025-12-29T00:00:00" maxDate="2026-04-27T00:00:00"/>
    </cacheField>
    <cacheField name="Instrument Currency" numFmtId="0">
      <sharedItems/>
    </cacheField>
    <cacheField name="Instrument Amount" numFmtId="0">
      <sharedItems containsMixedTypes="1" containsNumber="1" minValue="5560.16" maxValue="17142711.34"/>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4-28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27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15428440.206"/>
    </cacheField>
    <cacheField name="Name of Shipping Company" numFmtId="0">
      <sharedItems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133" maxValue="318967"/>
    </cacheField>
    <cacheField name="GSTIN" numFmtId="0">
      <sharedItems containsMixedTypes="1" containsNumber="1" minValue="4863.1440000000002" maxValue="15109473.206"/>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7268518" createdVersion="8" refreshedVersion="8" minRefreshableVersion="3" recordCount="114" xr:uid="{0A3C25BB-5F5B-4BD5-8E91-51C189E13C65}">
  <cacheSource type="worksheet">
    <worksheetSource name="Table1"/>
  </cacheSource>
  <cacheFields count="29">
    <cacheField name="Invoice Disc Tranch" numFmtId="0">
      <sharedItems containsSemiMixedTypes="0" containsString="0" containsNumber="1" containsInteger="1" minValue="0" maxValue="9"/>
    </cacheField>
    <cacheField name="No." numFmtId="0">
      <sharedItems containsSemiMixedTypes="0" containsString="0" containsNumber="1" containsInteger="1" minValue="1" maxValue="114"/>
    </cacheField>
    <cacheField name="Account Code" numFmtId="0">
      <sharedItems/>
    </cacheField>
    <cacheField name="Debtor Code" numFmtId="0">
      <sharedItems count="3">
        <s v="INDUSTOWER"/>
        <s v="RELIANCEIN"/>
        <s v="SIEMENSLTD"/>
      </sharedItems>
    </cacheField>
    <cacheField name="Instrument Type" numFmtId="0">
      <sharedItems/>
    </cacheField>
    <cacheField name="Instrument Number" numFmtId="0">
      <sharedItems/>
    </cacheField>
    <cacheField name="Instrument Date" numFmtId="170">
      <sharedItems containsSemiMixedTypes="0" containsNonDate="0" containsDate="1" containsString="0" minDate="2025-12-29T00:00:00" maxDate="2026-04-27T00:00:00"/>
    </cacheField>
    <cacheField name="Instrument Currency" numFmtId="0">
      <sharedItems/>
    </cacheField>
    <cacheField name="Instrument Amount" numFmtId="4">
      <sharedItems containsSemiMixedTypes="0" containsString="0" containsNumber="1" minValue="5560.16" maxValue="17142711.34"/>
    </cacheField>
    <cacheField name="Instrument Due Date" numFmtId="170">
      <sharedItems containsSemiMixedTypes="0" containsNonDate="0" containsDate="1" containsString="0" minDate="2026-04-25T00:00:00" maxDate="2026-08-22T00:00:00"/>
    </cacheField>
    <cacheField name="Disbursement Date" numFmtId="170">
      <sharedItems containsSemiMixedTypes="0" containsNonDate="0" containsDate="1" containsString="0" minDate="2026-02-09T00:00:00" maxDate="2026-04-28T00:00:00"/>
    </cacheField>
    <cacheField name="Maturity Date" numFmtId="170">
      <sharedItems containsSemiMixedTypes="0" containsNonDate="0" containsDate="1" containsString="0"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170">
      <sharedItems containsSemiMixedTypes="0" containsNonDate="0" containsDate="1" containsString="0" minDate="2025-12-29T00:00:00" maxDate="2026-04-27T00:00:00"/>
    </cacheField>
    <cacheField name="Port of Loading" numFmtId="170">
      <sharedItems containsNonDate="0" containsString="0" containsBlank="1"/>
    </cacheField>
    <cacheField name="Port of discharge" numFmtId="170">
      <sharedItems containsNonDate="0" containsString="0" containsBlank="1"/>
    </cacheField>
    <cacheField name="Goods Descriptions" numFmtId="164">
      <sharedItems containsBlank="1"/>
    </cacheField>
    <cacheField name="DBS bank Accepted amount" numFmtId="164">
      <sharedItems containsSemiMixedTypes="0" containsString="0" containsNumber="1" minValue="5004.1440000000002" maxValue="15428440.206"/>
    </cacheField>
    <cacheField name="Int Rate" numFmtId="10">
      <sharedItems containsSemiMixedTypes="0" containsString="0" containsNumber="1" minValue="7.6999999999999999E-2" maxValue="7.6999999999999999E-2"/>
    </cacheField>
    <cacheField name="No of days discount" numFmtId="1">
      <sharedItems containsSemiMixedTypes="0" containsString="0" containsNumber="1" containsInteger="1" minValue="22" maxValue="140"/>
    </cacheField>
    <cacheField name="Disc Interest" numFmtId="164">
      <sharedItems containsSemiMixedTypes="0" containsString="0" containsNumber="1" containsInteger="1" minValue="133" maxValue="318967"/>
    </cacheField>
    <cacheField name="Disbursment" numFmtId="164">
      <sharedItems containsSemiMixedTypes="0" containsString="0" containsNumber="1" minValue="4863.1440000000002" maxValue="15109473.206"/>
    </cacheField>
    <cacheField name="Repayment Date" numFmtId="14">
      <sharedItems containsNonDate="0" containsString="0" containsBlank="1"/>
    </cacheField>
    <cacheField name="Repayment Lot" numFmtId="0">
      <sharedItems containsNonDate="0" containsString="0" containsBlank="1"/>
    </cacheField>
    <cacheField name="Repayment amount" numFmtId="0">
      <sharedItems containsNonDate="0" containsString="0" containsBlank="1"/>
    </cacheField>
    <cacheField name="Balance payable/ Refund" numFmtId="164">
      <sharedItems containsNonDate="0" containsString="0" containsBlank="1"/>
    </cacheField>
    <cacheField name="Prepayment days" numFmtId="164">
      <sharedItems containsString="0" containsBlank="1" containsNumber="1" containsInteger="1" minValue="46174" maxValue="46174"/>
    </cacheField>
    <cacheField name="Interest reversal " numFmtId="164">
      <sharedItems containsString="0" containsBlank="1" containsNumber="1" containsInteger="1" minValue="4925227" maxValue="4925227"/>
    </cacheField>
    <cacheField name="Available Balance" numFmtId="2">
      <sharedItems containsSemiMixedTypes="0" containsString="0"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7615741" createdVersion="8" refreshedVersion="8" minRefreshableVersion="3" recordCount="115" xr:uid="{5F46C3F6-0D17-4EAE-9AAB-977DED9351E4}">
  <cacheSource type="worksheet">
    <worksheetSource ref="A1:AC117"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14"/>
    </cacheField>
    <cacheField name="Account Code" numFmtId="0">
      <sharedItems/>
    </cacheField>
    <cacheField name="Debtor Code" numFmtId="0">
      <sharedItems containsBlank="1" count="5">
        <s v="Debtor Code"/>
        <s v="INDUSTOWER"/>
        <s v="RELIANCEIN"/>
        <s v="SIEMENSLTD"/>
        <m u="1"/>
      </sharedItems>
    </cacheField>
    <cacheField name="Instrument Type" numFmtId="0">
      <sharedItems/>
    </cacheField>
    <cacheField name="Instrument Number" numFmtId="0">
      <sharedItems/>
    </cacheField>
    <cacheField name="Instrument Date" numFmtId="0">
      <sharedItems containsDate="1" containsMixedTypes="1" minDate="2025-12-29T00:00:00" maxDate="2026-04-27T00:00:00"/>
    </cacheField>
    <cacheField name="Instrument Currency" numFmtId="0">
      <sharedItems/>
    </cacheField>
    <cacheField name="Instrument Amount" numFmtId="0">
      <sharedItems containsMixedTypes="1" containsNumber="1" minValue="5560.16" maxValue="17142711.34"/>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4-28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27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15428440.206"/>
    </cacheField>
    <cacheField name="Name of Shipping Company" numFmtId="0">
      <sharedItems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133" maxValue="318967"/>
    </cacheField>
    <cacheField name="GSTIN" numFmtId="0">
      <sharedItems containsMixedTypes="1" containsNumber="1" minValue="4863.1440000000002" maxValue="15109473.206"/>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773148" createdVersion="8" refreshedVersion="8" minRefreshableVersion="3" recordCount="115" xr:uid="{223DDAE3-C1CF-4B1E-99A9-86A647572869}">
  <cacheSource type="worksheet">
    <worksheetSource ref="A1:AC117"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14"/>
    </cacheField>
    <cacheField name="Account Code" numFmtId="0">
      <sharedItems/>
    </cacheField>
    <cacheField name="Debtor Code" numFmtId="0">
      <sharedItems containsBlank="1" count="5">
        <s v="Debtor Code"/>
        <s v="INDUSTOWER"/>
        <s v="RELIANCEIN"/>
        <s v="SIEMENSLTD"/>
        <m u="1"/>
      </sharedItems>
    </cacheField>
    <cacheField name="Instrument Type" numFmtId="0">
      <sharedItems/>
    </cacheField>
    <cacheField name="Instrument Number" numFmtId="0">
      <sharedItems/>
    </cacheField>
    <cacheField name="Instrument Date" numFmtId="0">
      <sharedItems containsDate="1" containsMixedTypes="1" minDate="2025-12-29T00:00:00" maxDate="2026-04-27T00:00:00"/>
    </cacheField>
    <cacheField name="Instrument Currency" numFmtId="0">
      <sharedItems/>
    </cacheField>
    <cacheField name="Instrument Amount" numFmtId="0">
      <sharedItems containsMixedTypes="1" containsNumber="1" minValue="5560.16" maxValue="17142711.34"/>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4-28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27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15428440.206"/>
    </cacheField>
    <cacheField name="Name of Shipping Company" numFmtId="0">
      <sharedItems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133" maxValue="318967"/>
    </cacheField>
    <cacheField name="GSTIN" numFmtId="0">
      <sharedItems containsMixedTypes="1" containsNumber="1" minValue="4863.1440000000002" maxValue="15109473.206"/>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7847226" createdVersion="8" refreshedVersion="8" minRefreshableVersion="3" recordCount="115" xr:uid="{EF28B749-A353-4412-A36E-2D333B3F0D30}">
  <cacheSource type="worksheet">
    <worksheetSource ref="A1:AC117"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14"/>
    </cacheField>
    <cacheField name="Account Code" numFmtId="0">
      <sharedItems/>
    </cacheField>
    <cacheField name="Debtor Code" numFmtId="0">
      <sharedItems/>
    </cacheField>
    <cacheField name="Instrument Type" numFmtId="0">
      <sharedItems/>
    </cacheField>
    <cacheField name="Instrument Number" numFmtId="0">
      <sharedItems/>
    </cacheField>
    <cacheField name="Instrument Date" numFmtId="0">
      <sharedItems containsDate="1" containsMixedTypes="1" minDate="2025-12-29T00:00:00" maxDate="2026-04-27T00:00:00"/>
    </cacheField>
    <cacheField name="Instrument Currency" numFmtId="0">
      <sharedItems/>
    </cacheField>
    <cacheField name="Instrument Amount" numFmtId="0">
      <sharedItems containsMixedTypes="1" containsNumber="1" minValue="5560.16" maxValue="17142711.34"/>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4-28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27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15428440.206"/>
    </cacheField>
    <cacheField name="Name of Shipping Company" numFmtId="0">
      <sharedItems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133" maxValue="318967"/>
    </cacheField>
    <cacheField name="GSTIN" numFmtId="0">
      <sharedItems containsMixedTypes="1" containsNumber="1" minValue="4863.1440000000002" maxValue="15109473.206"/>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463288078703" createdVersion="8" refreshedVersion="8" minRefreshableVersion="3" recordCount="115" xr:uid="{54D2B480-CC63-4CAE-90D6-F68B4F6C5ACD}">
  <cacheSource type="worksheet">
    <worksheetSource ref="A1:AC117"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14"/>
    </cacheField>
    <cacheField name="Account Code" numFmtId="0">
      <sharedItems/>
    </cacheField>
    <cacheField name="Debtor Code" numFmtId="0">
      <sharedItems/>
    </cacheField>
    <cacheField name="Instrument Type" numFmtId="0">
      <sharedItems/>
    </cacheField>
    <cacheField name="Instrument Number" numFmtId="0">
      <sharedItems/>
    </cacheField>
    <cacheField name="Instrument Date" numFmtId="0">
      <sharedItems containsDate="1" containsMixedTypes="1" minDate="2025-12-29T00:00:00" maxDate="2026-04-27T00:00:00"/>
    </cacheField>
    <cacheField name="Instrument Currency" numFmtId="0">
      <sharedItems/>
    </cacheField>
    <cacheField name="Instrument Amount" numFmtId="0">
      <sharedItems containsMixedTypes="1" containsNumber="1" minValue="5560.16" maxValue="17142711.34"/>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4-28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27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15428440.206"/>
    </cacheField>
    <cacheField name="Name of Shipping Company" numFmtId="0">
      <sharedItems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133" maxValue="318967"/>
    </cacheField>
    <cacheField name="GSTIN" numFmtId="0">
      <sharedItems containsMixedTypes="1" containsNumber="1" minValue="4863.1440000000002" maxValue="15109473.206"/>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2.65800289352" createdVersion="8" refreshedVersion="8" minRefreshableVersion="3" recordCount="153" xr:uid="{49B0E7B9-E6EE-4273-8F3C-3E8C83A020D8}">
  <cacheSource type="worksheet">
    <worksheetSource ref="A1:AC154" sheet="DOMESTIC"/>
  </cacheSource>
  <cacheFields count="29">
    <cacheField name="Status" numFmtId="0">
      <sharedItems containsMixedTypes="1" containsNumber="1" containsInteger="1" minValue="0" maxValue="9"/>
    </cacheField>
    <cacheField name="No." numFmtId="0">
      <sharedItems containsMixedTypes="1" containsNumber="1" containsInteger="1" minValue="1" maxValue="152"/>
    </cacheField>
    <cacheField name="Account Code" numFmtId="0">
      <sharedItems/>
    </cacheField>
    <cacheField name="Debtor Code" numFmtId="0">
      <sharedItems count="7">
        <s v="Debtor Code"/>
        <s v="INDUSTOWER"/>
        <s v="RELIANCEIN"/>
        <s v="SIEMENSLTD"/>
        <s v="CLEANMAX"/>
        <s v="AVAADA"/>
        <s v="ARCHTECH"/>
      </sharedItems>
    </cacheField>
    <cacheField name="Instrument Type" numFmtId="0">
      <sharedItems/>
    </cacheField>
    <cacheField name="Instrument Number" numFmtId="0">
      <sharedItems/>
    </cacheField>
    <cacheField name="Instrument Date" numFmtId="0">
      <sharedItems containsDate="1" containsMixedTypes="1" minDate="2025-12-29T00:00:00" maxDate="2026-04-30T00:00:00"/>
    </cacheField>
    <cacheField name="Instrument Currency" numFmtId="0">
      <sharedItems/>
    </cacheField>
    <cacheField name="Instrument Amount" numFmtId="0">
      <sharedItems containsMixedTypes="1" containsNumber="1" minValue="5560.16" maxValue="42420120.899999999"/>
    </cacheField>
    <cacheField name="Instrument Due Date" numFmtId="0">
      <sharedItems containsDate="1" containsMixedTypes="1" minDate="2026-04-25T00:00:00" maxDate="2026-08-22T00:00:00"/>
    </cacheField>
    <cacheField name="Not Applicable" numFmtId="0">
      <sharedItems containsDate="1" containsMixedTypes="1" minDate="2026-02-09T00:00:00" maxDate="2026-05-01T00:00:00"/>
    </cacheField>
    <cacheField name="Corresponding Invoice Number (for Credit Note Submission Only) " numFmtId="0">
      <sharedItems containsDate="1" containsMixedTypes="1" minDate="2026-05-15T00:00:00" maxDate="2026-09-11T00:00:00"/>
    </cacheField>
    <cacheField name="Transport Document Reference Number" numFmtId="0">
      <sharedItems containsBlank="1" containsMixedTypes="1" containsNumber="1" containsInteger="1" minValue="778" maxValue="2000146151"/>
    </cacheField>
    <cacheField name="Transport Document Date" numFmtId="0">
      <sharedItems containsDate="1" containsMixedTypes="1" minDate="2025-12-29T00:00:00" maxDate="2026-04-30T00:00:00"/>
    </cacheField>
    <cacheField name="Port of Loading" numFmtId="0">
      <sharedItems containsBlank="1"/>
    </cacheField>
    <cacheField name="Port of discharge" numFmtId="0">
      <sharedItems containsBlank="1"/>
    </cacheField>
    <cacheField name="Goods Descriptions" numFmtId="0">
      <sharedItems containsBlank="1"/>
    </cacheField>
    <cacheField name="Name of Shipper" numFmtId="0">
      <sharedItems containsMixedTypes="1" containsNumber="1" minValue="5004.1440000000002" maxValue="38178108.810000002"/>
    </cacheField>
    <cacheField name="Name of Shipping Company" numFmtId="0">
      <sharedItems containsBlank="1" containsMixedTypes="1" containsNumber="1" minValue="7.6999999999999999E-2" maxValue="7.6999999999999999E-2"/>
    </cacheField>
    <cacheField name="Name of Vessel" numFmtId="1">
      <sharedItems containsMixedTypes="1" containsNumber="1" containsInteger="1" minValue="22" maxValue="140"/>
    </cacheField>
    <cacheField name="Other Date" numFmtId="0">
      <sharedItems containsMixedTypes="1" containsNumber="1" containsInteger="1" minValue="0" maxValue="318967"/>
    </cacheField>
    <cacheField name="GSTIN" numFmtId="0">
      <sharedItems containsMixedTypes="1" containsNumber="1" minValue="4863.1440000000002" maxValue="37944542.810000002"/>
    </cacheField>
    <cacheField name="GST Exempted"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ontainsMixedTypes="1" containsNumber="1" containsInteger="1" minValue="46174" maxValue="46174"/>
    </cacheField>
    <cacheField name="Field28" caption="Field28" numFmtId="0">
      <sharedItems containsBlank="1" containsMixedTypes="1" containsNumber="1" containsInteger="1" minValue="4925227" maxValue="4925227"/>
    </cacheField>
    <cacheField name="Field29" caption="Field29" numFmtId="0">
      <sharedItems containsMixedTypes="1" containsNumber="1" minValue="66187288.659999996" maxValue="274924736.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Invoice Disc Tranch"/>
    <s v="No."/>
    <s v="Account Code"/>
    <s v="Debtor Code"/>
    <s v="Instrument Type"/>
    <s v="Instrument Number"/>
    <s v="Instrument Date"/>
    <s v="Instrument Currency"/>
    <x v="0"/>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s v="INDUSTOWER"/>
    <s v="I"/>
    <s v="FI2627000000"/>
    <d v="2026-04-02T00:00:00"/>
    <s v="INR"/>
    <x v="1"/>
    <d v="2026-05-12T00:00:00"/>
    <d v="2026-04-17T00:00:00"/>
    <d v="2026-06-01T00:00:00"/>
    <n v="10001"/>
    <d v="2026-04-02T00:00:00"/>
    <m/>
    <m/>
    <s v="NBT 40Mtr Tower"/>
    <n v="505670.23799999995"/>
    <n v="7.6999999999999999E-2"/>
    <n v="45"/>
    <n v="4800"/>
    <n v="500870.23799999995"/>
    <m/>
    <m/>
    <m/>
    <m/>
    <n v="46174"/>
    <n v="4925227"/>
    <n v="274438144.18000001"/>
  </r>
  <r>
    <n v="1"/>
    <n v="2"/>
    <s v="FABIND9INRDZI"/>
    <s v="INDUSTOWER"/>
    <s v="I"/>
    <s v="FI2627000001"/>
    <d v="2026-04-02T00:00:00"/>
    <s v="INR"/>
    <x v="1"/>
    <d v="2026-05-12T00:00:00"/>
    <d v="2026-04-17T00:00:00"/>
    <d v="2026-06-01T00:00:00"/>
    <n v="10003"/>
    <d v="2026-04-02T00:00:00"/>
    <m/>
    <m/>
    <s v="NBT 40Mtr Tower"/>
    <n v="505670.23799999995"/>
    <n v="7.6999999999999999E-2"/>
    <n v="45"/>
    <n v="4800"/>
    <n v="500870.23799999995"/>
    <m/>
    <m/>
    <m/>
    <m/>
    <m/>
    <m/>
    <n v="274438144.18000001"/>
  </r>
  <r>
    <n v="1"/>
    <n v="3"/>
    <s v="FABIND9INRDZI"/>
    <s v="INDUSTOWER"/>
    <s v="I"/>
    <s v="FI2627000002"/>
    <d v="2026-04-02T00:00:00"/>
    <s v="INR"/>
    <x v="1"/>
    <d v="2026-05-12T00:00:00"/>
    <d v="2026-04-17T00:00:00"/>
    <d v="2026-06-01T00:00:00"/>
    <n v="10002"/>
    <d v="2026-04-02T00:00:00"/>
    <m/>
    <m/>
    <s v="NBT 40Mtr Tower"/>
    <n v="505670.23799999995"/>
    <n v="7.6999999999999999E-2"/>
    <n v="45"/>
    <n v="4800"/>
    <n v="500870.23799999995"/>
    <m/>
    <m/>
    <m/>
    <m/>
    <m/>
    <m/>
    <n v="274438144.18000001"/>
  </r>
  <r>
    <n v="1"/>
    <n v="4"/>
    <s v="FABIND9INRDZI"/>
    <s v="INDUSTOWER"/>
    <s v="I"/>
    <s v="FI2627000003"/>
    <d v="2026-04-02T00:00:00"/>
    <s v="INR"/>
    <x v="1"/>
    <d v="2026-05-12T00:00:00"/>
    <d v="2026-04-17T00:00:00"/>
    <d v="2026-06-01T00:00:00"/>
    <n v="10004"/>
    <d v="2026-04-02T00:00:00"/>
    <m/>
    <m/>
    <s v="NBT 40Mtr Tower"/>
    <n v="505670.23799999995"/>
    <n v="7.6999999999999999E-2"/>
    <n v="45"/>
    <n v="4800"/>
    <n v="500870.23799999995"/>
    <m/>
    <m/>
    <m/>
    <m/>
    <m/>
    <m/>
    <n v="274438144.18000001"/>
  </r>
  <r>
    <n v="1"/>
    <n v="5"/>
    <s v="FABIND9INRDZI"/>
    <s v="INDUSTOWER"/>
    <s v="I"/>
    <s v="FI2627000005"/>
    <d v="2026-04-03T00:00:00"/>
    <s v="INR"/>
    <x v="1"/>
    <d v="2026-05-13T00:00:00"/>
    <d v="2026-04-17T00:00:00"/>
    <d v="2026-06-02T00:00:00"/>
    <n v="10005"/>
    <d v="2026-04-03T00:00:00"/>
    <m/>
    <m/>
    <s v="NBT 40Mtr Tower"/>
    <n v="505670.23799999995"/>
    <n v="7.6999999999999999E-2"/>
    <n v="46"/>
    <n v="4907"/>
    <n v="500763.23799999995"/>
    <m/>
    <m/>
    <m/>
    <m/>
    <m/>
    <m/>
    <n v="274438144.18000001"/>
  </r>
  <r>
    <n v="1"/>
    <n v="6"/>
    <s v="FABIND9INRDZI"/>
    <s v="INDUSTOWER"/>
    <s v="I"/>
    <s v="FI2627000006"/>
    <d v="2026-04-03T00:00:00"/>
    <s v="INR"/>
    <x v="1"/>
    <d v="2026-05-13T00:00:00"/>
    <d v="2026-04-17T00:00:00"/>
    <d v="2026-06-02T00:00:00"/>
    <n v="10006"/>
    <d v="2026-04-03T00:00:00"/>
    <m/>
    <m/>
    <s v="NBT 40Mtr Tower"/>
    <n v="505670.23799999995"/>
    <n v="7.6999999999999999E-2"/>
    <n v="46"/>
    <n v="4907"/>
    <n v="500763.23799999995"/>
    <m/>
    <m/>
    <m/>
    <m/>
    <m/>
    <m/>
    <n v="274438144.18000001"/>
  </r>
  <r>
    <n v="1"/>
    <n v="7"/>
    <s v="FABIND9INRDZI"/>
    <s v="INDUSTOWER"/>
    <s v="I"/>
    <s v="FI2627000016"/>
    <d v="2026-04-03T00:00:00"/>
    <s v="INR"/>
    <x v="2"/>
    <d v="2026-05-13T00:00:00"/>
    <d v="2026-04-17T00:00:00"/>
    <d v="2026-06-02T00:00:00"/>
    <n v="10007"/>
    <d v="2026-04-03T00:00:00"/>
    <m/>
    <m/>
    <s v="TOWER GBT 3Legged VM 30M 170KMPH"/>
    <n v="398336.022"/>
    <n v="7.6999999999999999E-2"/>
    <n v="46"/>
    <n v="3865"/>
    <n v="394471.022"/>
    <m/>
    <m/>
    <m/>
    <m/>
    <m/>
    <m/>
    <n v="274557404.42000002"/>
  </r>
  <r>
    <n v="1"/>
    <n v="8"/>
    <s v="FABIND9INRDZI"/>
    <s v="INDUSTOWER"/>
    <s v="I"/>
    <s v="FI2627000027"/>
    <d v="2026-04-05T00:00:00"/>
    <s v="INR"/>
    <x v="3"/>
    <d v="2026-05-15T00:00:00"/>
    <d v="2026-04-17T00:00:00"/>
    <d v="2026-06-04T00:00:00"/>
    <n v="78287"/>
    <d v="2026-04-05T00:00:00"/>
    <m/>
    <m/>
    <s v="BIL - Tower GBT 40M 200 KMPH"/>
    <n v="677083.41"/>
    <n v="7.6999999999999999E-2"/>
    <n v="48"/>
    <n v="6856"/>
    <n v="670227.41"/>
    <m/>
    <m/>
    <m/>
    <m/>
    <m/>
    <m/>
    <n v="274247685.10000002"/>
  </r>
  <r>
    <n v="1"/>
    <n v="9"/>
    <s v="FABIND9INRDZI"/>
    <s v="INDUSTOWER"/>
    <s v="I"/>
    <s v="FI2627000030"/>
    <d v="2026-04-05T00:00:00"/>
    <s v="INR"/>
    <x v="4"/>
    <d v="2026-05-15T00:00:00"/>
    <d v="2026-04-17T00:00:00"/>
    <d v="2026-06-04T00:00:00"/>
    <n v="10010"/>
    <d v="2026-04-05T00:00:00"/>
    <m/>
    <m/>
    <s v="INDUS SOLAR STRUCTURE(2PX5-30/20 DEGREE)"/>
    <n v="620865.8280000001"/>
    <n v="7.6999999999999999E-2"/>
    <n v="48"/>
    <n v="6287"/>
    <n v="614578.8280000001"/>
    <m/>
    <m/>
    <m/>
    <m/>
    <m/>
    <m/>
    <n v="274310149.07999998"/>
  </r>
  <r>
    <n v="1"/>
    <n v="10"/>
    <s v="FABIND9INRDZI"/>
    <s v="INDUSTOWER"/>
    <s v="I"/>
    <s v="FI2627000031"/>
    <d v="2026-04-05T00:00:00"/>
    <s v="INR"/>
    <x v="4"/>
    <d v="2026-05-15T00:00:00"/>
    <d v="2026-04-17T00:00:00"/>
    <d v="2026-06-04T00:00:00"/>
    <n v="10011"/>
    <d v="2026-04-05T00:00:00"/>
    <m/>
    <m/>
    <s v="INDUS SOLAR STRUCTURE(2PX5-30/20 DEGREE)"/>
    <n v="620865.8280000001"/>
    <n v="7.6999999999999999E-2"/>
    <n v="48"/>
    <n v="6287"/>
    <n v="614578.8280000001"/>
    <m/>
    <m/>
    <m/>
    <m/>
    <m/>
    <m/>
    <n v="274310149.07999998"/>
  </r>
  <r>
    <n v="1"/>
    <n v="11"/>
    <s v="FABIND9INRDZI"/>
    <s v="INDUSTOWER"/>
    <s v="I"/>
    <s v="FI2627000032"/>
    <d v="2026-04-05T00:00:00"/>
    <s v="INR"/>
    <x v="5"/>
    <d v="2026-05-15T00:00:00"/>
    <d v="2026-04-17T00:00:00"/>
    <d v="2026-06-04T00:00:00"/>
    <n v="10014"/>
    <d v="2026-04-05T00:00:00"/>
    <m/>
    <m/>
    <s v="CIP RITA 15MTR"/>
    <n v="208895.4"/>
    <n v="7.6999999999999999E-2"/>
    <n v="48"/>
    <n v="2115"/>
    <n v="206780.4"/>
    <m/>
    <m/>
    <m/>
    <m/>
    <m/>
    <m/>
    <n v="274767894"/>
  </r>
  <r>
    <n v="2"/>
    <n v="12"/>
    <s v="FABIND9INRDZI"/>
    <s v="INDUSTOWER"/>
    <s v="I"/>
    <s v="FI2627000043"/>
    <d v="2026-04-06T00:00:00"/>
    <s v="INR"/>
    <x v="6"/>
    <d v="2026-05-16T00:00:00"/>
    <d v="2026-04-17T00:00:00"/>
    <d v="2026-06-05T00:00:00"/>
    <n v="10016"/>
    <d v="2026-04-06T00:00:00"/>
    <m/>
    <m/>
    <s v="TowerGBT-3 Leg Tubular VT30M 200 KMPH"/>
    <n v="582627.00599999994"/>
    <n v="7.6999999999999999E-2"/>
    <n v="49"/>
    <n v="6023"/>
    <n v="576604.00599999994"/>
    <m/>
    <m/>
    <m/>
    <m/>
    <m/>
    <m/>
    <n v="274352636.66000003"/>
  </r>
  <r>
    <n v="2"/>
    <n v="13"/>
    <s v="FABIND9INRDZI"/>
    <s v="INDUSTOWER"/>
    <s v="I"/>
    <s v="FI2627000044"/>
    <d v="2026-04-06T00:00:00"/>
    <s v="INR"/>
    <x v="6"/>
    <d v="2026-05-16T00:00:00"/>
    <d v="2026-04-17T00:00:00"/>
    <d v="2026-06-05T00:00:00"/>
    <n v="10017"/>
    <d v="2026-04-06T00:00:00"/>
    <m/>
    <m/>
    <s v="TowerGBT-3 Leg Tubular VT30M 200 KMPH"/>
    <n v="582627.00599999994"/>
    <n v="7.6999999999999999E-2"/>
    <n v="49"/>
    <n v="6023"/>
    <n v="576604.00599999994"/>
    <m/>
    <m/>
    <m/>
    <m/>
    <m/>
    <m/>
    <n v="274352636.66000003"/>
  </r>
  <r>
    <n v="2"/>
    <n v="14"/>
    <s v="FABIND9INRDZI"/>
    <s v="INDUSTOWER"/>
    <s v="I"/>
    <s v="FI2627000045"/>
    <d v="2026-04-06T00:00:00"/>
    <s v="INR"/>
    <x v="6"/>
    <d v="2026-05-16T00:00:00"/>
    <d v="2026-04-17T00:00:00"/>
    <d v="2026-06-05T00:00:00"/>
    <n v="10018"/>
    <d v="2026-04-06T00:00:00"/>
    <m/>
    <m/>
    <s v="TowerGBT-3 Leg Tubular VT30M 200 KMPH"/>
    <n v="582627.00599999994"/>
    <n v="7.6999999999999999E-2"/>
    <n v="49"/>
    <n v="6023"/>
    <n v="576604.00599999994"/>
    <m/>
    <m/>
    <m/>
    <m/>
    <m/>
    <m/>
    <n v="274352636.66000003"/>
  </r>
  <r>
    <n v="2"/>
    <n v="15"/>
    <s v="FABIND9INRDZI"/>
    <s v="INDUSTOWER"/>
    <s v="I"/>
    <s v="FI2627000047"/>
    <d v="2026-04-06T00:00:00"/>
    <s v="INR"/>
    <x v="6"/>
    <d v="2026-05-16T00:00:00"/>
    <d v="2026-04-17T00:00:00"/>
    <d v="2026-06-05T00:00:00"/>
    <n v="10019"/>
    <d v="2026-04-06T00:00:00"/>
    <m/>
    <m/>
    <s v="TowerGBT-3 Leg Tubular VT30M 200 KMPH"/>
    <n v="582627.00599999994"/>
    <n v="7.6999999999999999E-2"/>
    <n v="49"/>
    <n v="6023"/>
    <n v="576604.00599999994"/>
    <m/>
    <m/>
    <m/>
    <m/>
    <m/>
    <m/>
    <n v="274352636.66000003"/>
  </r>
  <r>
    <n v="3"/>
    <n v="16"/>
    <s v="FABIND9INRDZI"/>
    <s v="INDUSTOWER"/>
    <s v="I"/>
    <s v="FI2627000052"/>
    <d v="2026-04-08T00:00:00"/>
    <s v="INR"/>
    <x v="6"/>
    <d v="2026-05-18T00:00:00"/>
    <d v="2026-04-17T00:00:00"/>
    <d v="2026-06-07T00:00:00"/>
    <n v="10020"/>
    <d v="2026-04-08T00:00:00"/>
    <m/>
    <m/>
    <s v="TowerGBT-3 Leg Tubular VT30M 200 KMPH"/>
    <n v="582627.00599999994"/>
    <n v="7.6999999999999999E-2"/>
    <n v="51"/>
    <n v="6268"/>
    <n v="576359.00599999994"/>
    <m/>
    <m/>
    <m/>
    <m/>
    <m/>
    <m/>
    <n v="274352636.66000003"/>
  </r>
  <r>
    <n v="3"/>
    <n v="17"/>
    <s v="FABIND9INRDZI"/>
    <s v="INDUSTOWER"/>
    <s v="I"/>
    <s v="FI2627000063"/>
    <d v="2026-04-10T00:00:00"/>
    <s v="INR"/>
    <x v="7"/>
    <d v="2026-05-20T00:00:00"/>
    <d v="2026-04-17T00:00:00"/>
    <d v="2026-06-09T00:00:00"/>
    <n v="778"/>
    <d v="2026-04-10T00:00:00"/>
    <m/>
    <m/>
    <s v="BIL - Tower GBT 40M 200 KMPH"/>
    <n v="697498.23600000003"/>
    <n v="7.6999999999999999E-2"/>
    <n v="53"/>
    <n v="7799"/>
    <n v="689699.23600000003"/>
    <m/>
    <m/>
    <m/>
    <m/>
    <m/>
    <m/>
    <n v="274225001.95999998"/>
  </r>
  <r>
    <n v="3"/>
    <n v="18"/>
    <s v="FABIND9INRDZI"/>
    <s v="INDUSTOWER"/>
    <s v="I"/>
    <s v="FI2627000064"/>
    <d v="2026-04-10T00:00:00"/>
    <s v="INR"/>
    <x v="7"/>
    <d v="2026-05-20T00:00:00"/>
    <d v="2026-04-17T00:00:00"/>
    <d v="2026-06-09T00:00:00"/>
    <n v="10024"/>
    <d v="2026-04-10T00:00:00"/>
    <m/>
    <m/>
    <s v="BIL - Tower GBT 40M 200 KMPH"/>
    <n v="697498.23600000003"/>
    <n v="7.6999999999999999E-2"/>
    <n v="53"/>
    <n v="7799"/>
    <n v="689699.23600000003"/>
    <m/>
    <m/>
    <m/>
    <m/>
    <m/>
    <m/>
    <n v="274225001.95999998"/>
  </r>
  <r>
    <n v="3"/>
    <n v="19"/>
    <s v="FABIND9INRDZI"/>
    <s v="INDUSTOWER"/>
    <s v="I"/>
    <s v="FI2627000065"/>
    <d v="2026-04-10T00:00:00"/>
    <s v="INR"/>
    <x v="7"/>
    <d v="2026-05-20T00:00:00"/>
    <d v="2026-04-17T00:00:00"/>
    <d v="2026-06-09T00:00:00"/>
    <n v="779"/>
    <d v="2026-04-10T00:00:00"/>
    <m/>
    <m/>
    <s v="BIL - Tower GBT 40M 200 KMPH"/>
    <n v="697498.23600000003"/>
    <n v="7.6999999999999999E-2"/>
    <n v="53"/>
    <n v="7799"/>
    <n v="689699.23600000003"/>
    <m/>
    <m/>
    <m/>
    <m/>
    <m/>
    <m/>
    <n v="274225001.95999998"/>
  </r>
  <r>
    <n v="3"/>
    <n v="20"/>
    <s v="FABIND9INRDZI"/>
    <s v="INDUSTOWER"/>
    <s v="I"/>
    <s v="FI2627000066"/>
    <d v="2026-04-10T00:00:00"/>
    <s v="INR"/>
    <x v="7"/>
    <d v="2026-05-20T00:00:00"/>
    <d v="2026-04-17T00:00:00"/>
    <d v="2026-06-09T00:00:00"/>
    <n v="10025"/>
    <d v="2026-04-10T00:00:00"/>
    <m/>
    <m/>
    <s v="BIL - Tower GBT 40M 200 KMPH"/>
    <n v="697498.23600000003"/>
    <n v="7.6999999999999999E-2"/>
    <n v="53"/>
    <n v="7799"/>
    <n v="689699.23600000003"/>
    <m/>
    <m/>
    <m/>
    <m/>
    <m/>
    <m/>
    <n v="274225001.95999998"/>
  </r>
  <r>
    <n v="3"/>
    <n v="21"/>
    <s v="FABIND9INRDZI"/>
    <s v="INDUSTOWER"/>
    <s v="I"/>
    <s v="FI2627000067"/>
    <d v="2026-04-10T00:00:00"/>
    <s v="INR"/>
    <x v="7"/>
    <d v="2026-05-20T00:00:00"/>
    <d v="2026-04-17T00:00:00"/>
    <d v="2026-06-09T00:00:00"/>
    <n v="10026"/>
    <d v="2026-04-10T00:00:00"/>
    <m/>
    <m/>
    <s v="BIL - Tower GBT 40M 200 KMPH"/>
    <n v="697498.23600000003"/>
    <n v="7.6999999999999999E-2"/>
    <n v="53"/>
    <n v="7799"/>
    <n v="689699.23600000003"/>
    <m/>
    <m/>
    <m/>
    <m/>
    <m/>
    <m/>
    <n v="274225001.95999998"/>
  </r>
  <r>
    <n v="3"/>
    <n v="22"/>
    <s v="FABIND9INRDZI"/>
    <s v="INDUSTOWER"/>
    <s v="I"/>
    <s v="FI2627000069"/>
    <d v="2026-04-12T00:00:00"/>
    <s v="INR"/>
    <x v="6"/>
    <d v="2026-05-22T00:00:00"/>
    <d v="2026-04-17T00:00:00"/>
    <d v="2026-06-11T00:00:00"/>
    <n v="780"/>
    <d v="2026-04-12T00:00:00"/>
    <m/>
    <m/>
    <s v="TowerGBT-3 Leg Tubular VT30M 200 KMPH"/>
    <n v="582627.00599999994"/>
    <n v="7.6999999999999999E-2"/>
    <n v="55"/>
    <n v="6760"/>
    <n v="575867.00599999994"/>
    <m/>
    <m/>
    <m/>
    <m/>
    <m/>
    <m/>
    <n v="274352636.66000003"/>
  </r>
  <r>
    <n v="3"/>
    <n v="23"/>
    <s v="FABIND9INRDZI"/>
    <s v="INDUSTOWER"/>
    <s v="I"/>
    <s v="FI2627000070"/>
    <d v="2026-04-12T00:00:00"/>
    <s v="INR"/>
    <x v="8"/>
    <d v="2026-05-22T00:00:00"/>
    <d v="2026-04-17T00:00:00"/>
    <d v="2026-06-11T00:00:00"/>
    <n v="781"/>
    <d v="2026-04-12T00:00:00"/>
    <m/>
    <m/>
    <s v="Cast In part GBT-3L TBLR VT30M 200KMPH"/>
    <n v="132467.508"/>
    <n v="7.6999999999999999E-2"/>
    <n v="55"/>
    <n v="1537"/>
    <n v="130930.508"/>
    <m/>
    <m/>
    <m/>
    <m/>
    <m/>
    <m/>
    <n v="274852813.88"/>
  </r>
  <r>
    <n v="3"/>
    <n v="24"/>
    <s v="FABIND9INRDZI"/>
    <s v="INDUSTOWER"/>
    <s v="I"/>
    <s v="FI2627000071"/>
    <d v="2026-04-12T00:00:00"/>
    <s v="INR"/>
    <x v="7"/>
    <d v="2026-05-22T00:00:00"/>
    <d v="2026-04-17T00:00:00"/>
    <d v="2026-06-11T00:00:00"/>
    <n v="10030"/>
    <d v="2026-04-12T00:00:00"/>
    <m/>
    <m/>
    <s v="BIL - Tower GBT 40M 200 KMPH"/>
    <n v="697498.23600000003"/>
    <n v="7.6999999999999999E-2"/>
    <n v="55"/>
    <n v="8093"/>
    <n v="689405.23600000003"/>
    <m/>
    <m/>
    <m/>
    <m/>
    <m/>
    <m/>
    <n v="274225001.95999998"/>
  </r>
  <r>
    <n v="3"/>
    <n v="25"/>
    <s v="FABIND9INRDZI"/>
    <s v="INDUSTOWER"/>
    <s v="I"/>
    <s v="FI2627000072"/>
    <d v="2026-04-12T00:00:00"/>
    <s v="INR"/>
    <x v="7"/>
    <d v="2026-05-22T00:00:00"/>
    <d v="2026-04-17T00:00:00"/>
    <d v="2026-06-11T00:00:00"/>
    <n v="10031"/>
    <d v="2026-04-12T00:00:00"/>
    <m/>
    <m/>
    <s v="BIL - Tower GBT 40M 200 KMPH"/>
    <n v="697498.23600000003"/>
    <n v="7.6999999999999999E-2"/>
    <n v="55"/>
    <n v="8093"/>
    <n v="689405.23600000003"/>
    <m/>
    <m/>
    <m/>
    <m/>
    <m/>
    <m/>
    <n v="274225001.95999998"/>
  </r>
  <r>
    <n v="3"/>
    <n v="26"/>
    <s v="FABIND9INRDZI"/>
    <s v="INDUSTOWER"/>
    <s v="I"/>
    <s v="FI2627000077"/>
    <d v="2026-04-13T00:00:00"/>
    <s v="INR"/>
    <x v="7"/>
    <d v="2026-05-23T00:00:00"/>
    <d v="2026-04-17T00:00:00"/>
    <d v="2026-06-12T00:00:00"/>
    <n v="78501"/>
    <d v="2026-04-13T00:00:00"/>
    <m/>
    <m/>
    <s v="BIL - Tower GBT 40M 200 KMPH"/>
    <n v="697498.23600000003"/>
    <n v="7.6999999999999999E-2"/>
    <n v="56"/>
    <n v="8240"/>
    <n v="689258.23600000003"/>
    <m/>
    <m/>
    <m/>
    <m/>
    <m/>
    <m/>
    <n v="274225001.95999998"/>
  </r>
  <r>
    <n v="3"/>
    <n v="27"/>
    <s v="FABIND9INRDZI"/>
    <s v="INDUSTOWER"/>
    <s v="I"/>
    <s v="FI2627000078"/>
    <d v="2026-04-13T00:00:00"/>
    <s v="INR"/>
    <x v="7"/>
    <d v="2026-05-23T00:00:00"/>
    <d v="2026-04-17T00:00:00"/>
    <d v="2026-06-12T00:00:00"/>
    <n v="78502"/>
    <d v="2026-04-13T00:00:00"/>
    <m/>
    <m/>
    <s v="BIL - Tower GBT 40M 200 KMPH"/>
    <n v="697498.23600000003"/>
    <n v="7.6999999999999999E-2"/>
    <n v="56"/>
    <n v="8240"/>
    <n v="689258.23600000003"/>
    <m/>
    <m/>
    <m/>
    <m/>
    <m/>
    <m/>
    <n v="274225001.95999998"/>
  </r>
  <r>
    <n v="3"/>
    <n v="28"/>
    <s v="FABIND9INRDZI"/>
    <s v="INDUSTOWER"/>
    <s v="I"/>
    <s v="FI2627000079"/>
    <d v="2026-04-13T00:00:00"/>
    <s v="INR"/>
    <x v="7"/>
    <d v="2026-05-23T00:00:00"/>
    <d v="2026-04-17T00:00:00"/>
    <d v="2026-06-12T00:00:00"/>
    <n v="78503"/>
    <d v="2026-04-13T00:00:00"/>
    <m/>
    <m/>
    <s v="BIL - Tower GBT 40M 200 KMPH"/>
    <n v="697498.23600000003"/>
    <n v="7.6999999999999999E-2"/>
    <n v="56"/>
    <n v="8240"/>
    <n v="689258.23600000003"/>
    <m/>
    <m/>
    <m/>
    <m/>
    <m/>
    <m/>
    <n v="274225001.95999998"/>
  </r>
  <r>
    <n v="4"/>
    <n v="29"/>
    <s v="FABIND9INRDZI"/>
    <s v="INDUSTOWER"/>
    <s v="I"/>
    <s v="FI2627000084"/>
    <d v="2026-04-15T00:00:00"/>
    <s v="INR"/>
    <x v="9"/>
    <d v="2026-05-25T00:00:00"/>
    <d v="2026-04-20T00:00:00"/>
    <d v="2026-06-14T00:00:00"/>
    <n v="78510"/>
    <d v="2026-04-15T00:00:00"/>
    <m/>
    <m/>
    <s v="TowerGBT-3 Leg Tubular VT30M 200 KMPH"/>
    <n v="595705.53600000008"/>
    <n v="7.6999999999999999E-2"/>
    <n v="55"/>
    <n v="6912"/>
    <n v="588793.53600000008"/>
    <m/>
    <m/>
    <m/>
    <m/>
    <m/>
    <m/>
    <n v="274338104.95999998"/>
  </r>
  <r>
    <n v="4"/>
    <n v="30"/>
    <s v="FABIND9INRDZI"/>
    <s v="INDUSTOWER"/>
    <s v="I"/>
    <s v="FI2627000085"/>
    <d v="2026-04-15T00:00:00"/>
    <s v="INR"/>
    <x v="9"/>
    <d v="2026-05-25T00:00:00"/>
    <d v="2026-04-20T00:00:00"/>
    <d v="2026-06-14T00:00:00"/>
    <n v="78511"/>
    <d v="2026-04-15T00:00:00"/>
    <m/>
    <m/>
    <s v="TowerGBT-3 Leg Tubular VT30M 200 KMPH"/>
    <n v="595705.53600000008"/>
    <n v="7.6999999999999999E-2"/>
    <n v="55"/>
    <n v="6912"/>
    <n v="588793.53600000008"/>
    <m/>
    <m/>
    <m/>
    <m/>
    <m/>
    <m/>
    <n v="274338104.95999998"/>
  </r>
  <r>
    <n v="4"/>
    <n v="31"/>
    <s v="FABIND9INRDZI"/>
    <s v="INDUSTOWER"/>
    <s v="I"/>
    <s v="FI2627000086"/>
    <d v="2026-04-15T00:00:00"/>
    <s v="INR"/>
    <x v="9"/>
    <d v="2026-05-25T00:00:00"/>
    <d v="2026-04-20T00:00:00"/>
    <d v="2026-06-14T00:00:00"/>
    <n v="21123"/>
    <d v="2026-04-15T00:00:00"/>
    <m/>
    <m/>
    <s v="TowerGBT-3 Leg Tubular VT30M 200 KMPH"/>
    <n v="595705.53600000008"/>
    <n v="7.6999999999999999E-2"/>
    <n v="55"/>
    <n v="6912"/>
    <n v="588793.53600000008"/>
    <m/>
    <m/>
    <m/>
    <m/>
    <m/>
    <m/>
    <n v="274338104.95999998"/>
  </r>
  <r>
    <n v="4"/>
    <n v="32"/>
    <s v="FABIND9INRDZI"/>
    <s v="INDUSTOWER"/>
    <s v="I"/>
    <s v="FI2627000087"/>
    <d v="2026-04-15T00:00:00"/>
    <s v="INR"/>
    <x v="9"/>
    <d v="2026-05-25T00:00:00"/>
    <d v="2026-04-20T00:00:00"/>
    <d v="2026-06-14T00:00:00"/>
    <n v="78512"/>
    <d v="2026-04-15T00:00:00"/>
    <m/>
    <m/>
    <s v="TowerGBT-3 Leg Tubular VT30M 200 KMPH"/>
    <n v="595705.53600000008"/>
    <n v="7.6999999999999999E-2"/>
    <n v="55"/>
    <n v="6912"/>
    <n v="588793.53600000008"/>
    <m/>
    <m/>
    <m/>
    <m/>
    <m/>
    <m/>
    <n v="274338104.95999998"/>
  </r>
  <r>
    <n v="4"/>
    <n v="33"/>
    <s v="FABIND9INRDZI"/>
    <s v="INDUSTOWER"/>
    <s v="I"/>
    <s v="FI2627000109"/>
    <d v="2026-04-19T00:00:00"/>
    <s v="INR"/>
    <x v="10"/>
    <d v="2026-05-29T00:00:00"/>
    <d v="2026-04-20T00:00:00"/>
    <d v="2026-06-18T00:00:00"/>
    <n v="10038"/>
    <d v="2026-04-19T00:00:00"/>
    <m/>
    <m/>
    <s v="Tower- GBT- Elite 403 STR - 3L TBLR 40M"/>
    <n v="455407.90200000006"/>
    <n v="7.6999999999999999E-2"/>
    <n v="59"/>
    <n v="5668"/>
    <n v="449739.90200000006"/>
    <m/>
    <m/>
    <m/>
    <m/>
    <m/>
    <m/>
    <n v="274493991.22000003"/>
  </r>
  <r>
    <n v="4"/>
    <n v="34"/>
    <s v="FABIND9INRDZI"/>
    <s v="INDUSTOWER"/>
    <s v="I"/>
    <s v="FI2627000110"/>
    <d v="2026-04-19T00:00:00"/>
    <s v="INR"/>
    <x v="10"/>
    <d v="2026-05-29T00:00:00"/>
    <d v="2026-04-20T00:00:00"/>
    <d v="2026-06-18T00:00:00"/>
    <n v="10039"/>
    <d v="2026-04-19T00:00:00"/>
    <m/>
    <m/>
    <s v="Tower- GBT- Elite 403 STR - 3L TBLR 40M"/>
    <n v="455407.90200000006"/>
    <n v="7.6999999999999999E-2"/>
    <n v="59"/>
    <n v="5668"/>
    <n v="449739.90200000006"/>
    <m/>
    <m/>
    <m/>
    <m/>
    <m/>
    <m/>
    <n v="274493991.22000003"/>
  </r>
  <r>
    <n v="4"/>
    <n v="35"/>
    <s v="FABIND9INRDZI"/>
    <s v="INDUSTOWER"/>
    <s v="I"/>
    <s v="FI2627000111"/>
    <d v="2026-04-19T00:00:00"/>
    <s v="INR"/>
    <x v="10"/>
    <d v="2026-05-29T00:00:00"/>
    <d v="2026-04-20T00:00:00"/>
    <d v="2026-06-18T00:00:00"/>
    <n v="10040"/>
    <d v="2026-04-19T00:00:00"/>
    <m/>
    <m/>
    <s v="Tower- GBT- Elite 403 STR - 3L TBLR 40M"/>
    <n v="455407.90200000006"/>
    <n v="7.6999999999999999E-2"/>
    <n v="59"/>
    <n v="5668"/>
    <n v="449739.90200000006"/>
    <m/>
    <m/>
    <m/>
    <m/>
    <m/>
    <m/>
    <n v="274493991.22000003"/>
  </r>
  <r>
    <n v="4"/>
    <n v="36"/>
    <s v="FABIND9INRDZI"/>
    <s v="INDUSTOWER"/>
    <s v="I"/>
    <s v="FI2627000112"/>
    <d v="2026-04-19T00:00:00"/>
    <s v="INR"/>
    <x v="10"/>
    <d v="2026-05-29T00:00:00"/>
    <d v="2026-04-20T00:00:00"/>
    <d v="2026-06-18T00:00:00"/>
    <n v="10041"/>
    <d v="2026-04-19T00:00:00"/>
    <m/>
    <m/>
    <s v="Tower- GBT- Elite 403 STR - 3L TBLR 40M"/>
    <n v="455407.90200000006"/>
    <n v="7.6999999999999999E-2"/>
    <n v="59"/>
    <n v="5668"/>
    <n v="449739.90200000006"/>
    <m/>
    <m/>
    <m/>
    <m/>
    <m/>
    <m/>
    <n v="274493991.22000003"/>
  </r>
  <r>
    <n v="5"/>
    <n v="37"/>
    <s v="FABIND9INRDZI"/>
    <s v="INDUSTOWER"/>
    <s v="I"/>
    <s v="FI2627000118"/>
    <d v="2026-04-20T00:00:00"/>
    <s v="INR"/>
    <x v="11"/>
    <d v="2026-05-30T00:00:00"/>
    <d v="2026-04-23T00:00:00"/>
    <d v="2026-06-19T00:00:00"/>
    <n v="10043"/>
    <d v="2026-04-20T00:00:00"/>
    <m/>
    <m/>
    <s v="Tower- GBT- Elite 403 STR - 3L TBLR 40M"/>
    <n v="434993.076"/>
    <n v="7.6999999999999999E-2"/>
    <n v="57"/>
    <n v="5231"/>
    <n v="429762.076"/>
    <m/>
    <m/>
    <m/>
    <m/>
    <m/>
    <m/>
    <n v="274516674.36000001"/>
  </r>
  <r>
    <n v="5"/>
    <n v="38"/>
    <s v="FABIND9INRDZI"/>
    <s v="INDUSTOWER"/>
    <s v="I"/>
    <s v="FI2627000119"/>
    <d v="2026-04-20T00:00:00"/>
    <s v="INR"/>
    <x v="11"/>
    <d v="2026-05-30T00:00:00"/>
    <d v="2026-04-23T00:00:00"/>
    <d v="2026-06-19T00:00:00"/>
    <n v="10044"/>
    <d v="2026-04-20T00:00:00"/>
    <m/>
    <m/>
    <s v="Tower- GBT- Elite 403 STR - 3L TBLR 40M"/>
    <n v="434993.076"/>
    <n v="7.6999999999999999E-2"/>
    <n v="57"/>
    <n v="5231"/>
    <n v="429762.076"/>
    <m/>
    <m/>
    <m/>
    <m/>
    <m/>
    <m/>
    <n v="274516674.36000001"/>
  </r>
  <r>
    <n v="5"/>
    <n v="39"/>
    <s v="FABIND9INRDZI"/>
    <s v="INDUSTOWER"/>
    <s v="I"/>
    <s v="FI2627000120"/>
    <d v="2026-04-20T00:00:00"/>
    <s v="INR"/>
    <x v="11"/>
    <d v="2026-05-30T00:00:00"/>
    <d v="2026-04-23T00:00:00"/>
    <d v="2026-06-19T00:00:00"/>
    <n v="10045"/>
    <d v="2026-04-20T00:00:00"/>
    <m/>
    <m/>
    <s v="Tower- GBT- Elite 403 STR - 3L TBLR 40M"/>
    <n v="434993.076"/>
    <n v="7.6999999999999999E-2"/>
    <n v="57"/>
    <n v="5231"/>
    <n v="429762.076"/>
    <m/>
    <m/>
    <m/>
    <m/>
    <m/>
    <m/>
    <n v="274516674.36000001"/>
  </r>
  <r>
    <n v="5"/>
    <n v="40"/>
    <s v="FABIND9INRDZI"/>
    <s v="INDUSTOWER"/>
    <s v="I"/>
    <s v="FI2627000121"/>
    <d v="2026-04-20T00:00:00"/>
    <s v="INR"/>
    <x v="11"/>
    <d v="2026-05-30T00:00:00"/>
    <d v="2026-04-23T00:00:00"/>
    <d v="2026-06-19T00:00:00"/>
    <n v="10046"/>
    <d v="2026-04-20T00:00:00"/>
    <m/>
    <m/>
    <s v="Tower- GBT- Elite 403 STR - 3L TBLR 40M"/>
    <n v="434993.076"/>
    <n v="7.6999999999999999E-2"/>
    <n v="57"/>
    <n v="5231"/>
    <n v="429762.076"/>
    <m/>
    <m/>
    <m/>
    <m/>
    <m/>
    <m/>
    <n v="274516674.36000001"/>
  </r>
  <r>
    <n v="5"/>
    <n v="41"/>
    <s v="FABIND9INRDZI"/>
    <s v="INDUSTOWER"/>
    <s v="I"/>
    <s v="FI2627000122"/>
    <d v="2026-04-20T00:00:00"/>
    <s v="INR"/>
    <x v="11"/>
    <d v="2026-05-30T00:00:00"/>
    <d v="2026-04-23T00:00:00"/>
    <d v="2026-06-19T00:00:00"/>
    <n v="801"/>
    <d v="2026-04-20T00:00:00"/>
    <m/>
    <m/>
    <s v="Tower- GBT- Elite 403 STR - 3L TBLR 40M"/>
    <n v="434993.076"/>
    <n v="7.6999999999999999E-2"/>
    <n v="57"/>
    <n v="5231"/>
    <n v="429762.076"/>
    <m/>
    <m/>
    <m/>
    <m/>
    <m/>
    <m/>
    <n v="274516674.36000001"/>
  </r>
  <r>
    <n v="5"/>
    <n v="42"/>
    <s v="FABIND9INRDZI"/>
    <s v="INDUSTOWER"/>
    <s v="I"/>
    <s v="FI2627000127"/>
    <d v="2026-04-20T00:00:00"/>
    <s v="INR"/>
    <x v="12"/>
    <d v="2026-05-30T00:00:00"/>
    <d v="2026-04-23T00:00:00"/>
    <d v="2026-06-19T00:00:00"/>
    <n v="78158"/>
    <d v="2026-04-20T00:00:00"/>
    <m/>
    <m/>
    <s v="CIP - GBT - Elite 403 STR - 3L 170KMPH"/>
    <n v="906231.15"/>
    <n v="7.6999999999999999E-2"/>
    <n v="57"/>
    <n v="10897"/>
    <n v="895334.15"/>
    <m/>
    <m/>
    <m/>
    <m/>
    <m/>
    <m/>
    <n v="273993076.5"/>
  </r>
  <r>
    <n v="5"/>
    <n v="43"/>
    <s v="FABIND9INRDZI"/>
    <s v="INDUSTOWER"/>
    <s v="I"/>
    <s v="FI2627000128"/>
    <d v="2026-04-20T00:00:00"/>
    <s v="INR"/>
    <x v="13"/>
    <d v="2026-05-30T00:00:00"/>
    <d v="2026-04-23T00:00:00"/>
    <d v="2026-06-19T00:00:00"/>
    <n v="10047"/>
    <d v="2026-04-20T00:00:00"/>
    <m/>
    <m/>
    <s v="12A - Tower GBT-3 Leg TBLR 40M 170 KMPH"/>
    <n v="604118.70000000007"/>
    <n v="7.6999999999999999E-2"/>
    <n v="57"/>
    <n v="7264"/>
    <n v="596854.70000000007"/>
    <m/>
    <m/>
    <m/>
    <m/>
    <m/>
    <m/>
    <n v="274328757"/>
  </r>
  <r>
    <n v="5"/>
    <n v="44"/>
    <s v="FABIND9INRDZI"/>
    <s v="INDUSTOWER"/>
    <s v="I"/>
    <s v="FI2627000134"/>
    <d v="2026-04-21T00:00:00"/>
    <s v="INR"/>
    <x v="14"/>
    <d v="2026-05-31T00:00:00"/>
    <d v="2026-04-23T00:00:00"/>
    <d v="2026-06-20T00:00:00"/>
    <n v="10049"/>
    <d v="2026-04-21T00:00:00"/>
    <m/>
    <m/>
    <s v="TOWER GBT 3Legged VM 30M 170KMPH"/>
    <n v="433502.02799999999"/>
    <n v="7.6999999999999999E-2"/>
    <n v="58"/>
    <n v="5304"/>
    <n v="428198.02799999999"/>
    <m/>
    <m/>
    <m/>
    <m/>
    <m/>
    <m/>
    <n v="274518331.07999998"/>
  </r>
  <r>
    <n v="5"/>
    <n v="45"/>
    <s v="FABIND9INRDZI"/>
    <s v="INDUSTOWER"/>
    <s v="I"/>
    <s v="FI2627000135"/>
    <d v="2026-04-21T00:00:00"/>
    <s v="INR"/>
    <x v="10"/>
    <d v="2026-05-31T00:00:00"/>
    <d v="2026-04-23T00:00:00"/>
    <d v="2026-06-20T00:00:00"/>
    <n v="10050"/>
    <d v="2026-04-21T00:00:00"/>
    <m/>
    <m/>
    <s v="Tower- GBT- Elite 403 STR - 3L TBLR 40M"/>
    <n v="455407.90200000006"/>
    <n v="7.6999999999999999E-2"/>
    <n v="58"/>
    <n v="5572"/>
    <n v="449835.90200000006"/>
    <m/>
    <m/>
    <m/>
    <m/>
    <m/>
    <m/>
    <n v="274493991.22000003"/>
  </r>
  <r>
    <n v="5"/>
    <n v="46"/>
    <s v="FABIND9INRDZI"/>
    <s v="INDUSTOWER"/>
    <s v="I"/>
    <s v="FI2627000136"/>
    <d v="2026-04-21T00:00:00"/>
    <s v="INR"/>
    <x v="10"/>
    <d v="2026-05-31T00:00:00"/>
    <d v="2026-04-23T00:00:00"/>
    <d v="2026-06-20T00:00:00"/>
    <n v="78519"/>
    <d v="2026-04-21T00:00:00"/>
    <m/>
    <m/>
    <s v="Tower- GBT- Elite 403 STR - 3L TBLR 40M"/>
    <n v="455407.90200000006"/>
    <n v="7.6999999999999999E-2"/>
    <n v="58"/>
    <n v="5572"/>
    <n v="449835.90200000006"/>
    <m/>
    <m/>
    <m/>
    <m/>
    <m/>
    <m/>
    <n v="274493991.22000003"/>
  </r>
  <r>
    <n v="5"/>
    <n v="47"/>
    <s v="FABIND9INRDZI"/>
    <s v="INDUSTOWER"/>
    <s v="I"/>
    <s v="FI2627000137"/>
    <d v="2026-04-21T00:00:00"/>
    <s v="INR"/>
    <x v="10"/>
    <d v="2026-05-31T00:00:00"/>
    <d v="2026-04-23T00:00:00"/>
    <d v="2026-06-20T00:00:00"/>
    <n v="78520"/>
    <d v="2026-04-21T00:00:00"/>
    <m/>
    <m/>
    <s v="Tower- GBT- Elite 403 STR - 3L TBLR 40M"/>
    <n v="455407.90200000006"/>
    <n v="7.6999999999999999E-2"/>
    <n v="58"/>
    <n v="5572"/>
    <n v="449835.90200000006"/>
    <m/>
    <m/>
    <m/>
    <m/>
    <m/>
    <m/>
    <n v="274493991.22000003"/>
  </r>
  <r>
    <n v="5"/>
    <n v="48"/>
    <s v="FABIND9INRDZI"/>
    <s v="INDUSTOWER"/>
    <s v="I"/>
    <s v="FI2627000139"/>
    <d v="2026-04-21T00:00:00"/>
    <s v="INR"/>
    <x v="10"/>
    <d v="2026-05-31T00:00:00"/>
    <d v="2026-04-23T00:00:00"/>
    <d v="2026-06-20T00:00:00"/>
    <n v="78521"/>
    <d v="2026-04-21T00:00:00"/>
    <m/>
    <m/>
    <s v="Tower- GBT- Elite 403 STR - 3L TBLR 40M"/>
    <n v="455407.90200000006"/>
    <n v="7.6999999999999999E-2"/>
    <n v="58"/>
    <n v="5572"/>
    <n v="449835.90200000006"/>
    <m/>
    <m/>
    <m/>
    <m/>
    <m/>
    <m/>
    <n v="274493991.22000003"/>
  </r>
  <r>
    <n v="5"/>
    <n v="49"/>
    <s v="FABIND9INRDZI"/>
    <s v="INDUSTOWER"/>
    <s v="I"/>
    <s v="FI2627000140"/>
    <d v="2026-04-21T00:00:00"/>
    <s v="INR"/>
    <x v="10"/>
    <d v="2026-05-31T00:00:00"/>
    <d v="2026-04-23T00:00:00"/>
    <d v="2026-06-20T00:00:00"/>
    <n v="10051"/>
    <d v="2026-04-21T00:00:00"/>
    <m/>
    <m/>
    <s v="Tower- GBT- Elite 403 STR - 3L TBLR 40M"/>
    <n v="455407.90200000006"/>
    <n v="7.6999999999999999E-2"/>
    <n v="58"/>
    <n v="5572"/>
    <n v="449835.90200000006"/>
    <m/>
    <m/>
    <m/>
    <m/>
    <m/>
    <m/>
    <n v="274493991.22000003"/>
  </r>
  <r>
    <n v="5"/>
    <n v="50"/>
    <s v="FABIND9INRDZI"/>
    <s v="INDUSTOWER"/>
    <s v="I"/>
    <s v="FI2627000148"/>
    <d v="2026-04-21T00:00:00"/>
    <s v="INR"/>
    <x v="10"/>
    <d v="2026-05-31T00:00:00"/>
    <d v="2026-04-23T00:00:00"/>
    <d v="2026-06-20T00:00:00"/>
    <n v="78522"/>
    <d v="2026-04-21T00:00:00"/>
    <m/>
    <m/>
    <s v="Tower- GBT- Elite 403 STR - 3L TBLR 40M"/>
    <n v="455407.90200000006"/>
    <n v="7.6999999999999999E-2"/>
    <n v="58"/>
    <n v="5572"/>
    <n v="449835.90200000006"/>
    <m/>
    <m/>
    <m/>
    <m/>
    <m/>
    <m/>
    <n v="274493991.22000003"/>
  </r>
  <r>
    <n v="6"/>
    <n v="51"/>
    <s v="FABIND9INRDZI"/>
    <s v="INDUSTOWER"/>
    <s v="I"/>
    <s v="FI2627000151"/>
    <d v="2026-04-22T00:00:00"/>
    <s v="INR"/>
    <x v="15"/>
    <d v="2026-06-01T00:00:00"/>
    <d v="2026-04-23T00:00:00"/>
    <d v="2026-06-21T00:00:00"/>
    <n v="25333"/>
    <d v="2026-04-22T00:00:00"/>
    <m/>
    <m/>
    <s v="SLIP JOINT MONOPOLE-30M (INDUS)"/>
    <n v="786486.402"/>
    <n v="7.6999999999999999E-2"/>
    <n v="59"/>
    <n v="9789"/>
    <n v="776697.402"/>
    <m/>
    <m/>
    <m/>
    <m/>
    <m/>
    <m/>
    <n v="274126126.22000003"/>
  </r>
  <r>
    <n v="6"/>
    <n v="52"/>
    <s v="FABIND9INRDZI"/>
    <s v="INDUSTOWER"/>
    <s v="I"/>
    <s v="FI2627000152"/>
    <d v="2026-04-22T00:00:00"/>
    <s v="INR"/>
    <x v="11"/>
    <d v="2026-06-01T00:00:00"/>
    <d v="2026-04-23T00:00:00"/>
    <d v="2026-06-21T00:00:00"/>
    <n v="10054"/>
    <d v="2026-04-22T00:00:00"/>
    <m/>
    <m/>
    <s v="Tower- GBT- Elite 403 STR - 3L TBLR 40M"/>
    <n v="434993.076"/>
    <n v="7.6999999999999999E-2"/>
    <n v="59"/>
    <n v="5414"/>
    <n v="429579.076"/>
    <m/>
    <m/>
    <m/>
    <m/>
    <m/>
    <m/>
    <n v="274516674.36000001"/>
  </r>
  <r>
    <n v="6"/>
    <n v="53"/>
    <s v="FABIND9INRDZI"/>
    <s v="INDUSTOWER"/>
    <s v="I"/>
    <s v="FI2627000153"/>
    <d v="2026-04-22T00:00:00"/>
    <s v="INR"/>
    <x v="11"/>
    <d v="2026-06-01T00:00:00"/>
    <d v="2026-04-23T00:00:00"/>
    <d v="2026-06-21T00:00:00"/>
    <n v="10053"/>
    <d v="2026-04-22T00:00:00"/>
    <m/>
    <m/>
    <s v="Tower- GBT- Elite 403 STR - 3L TBLR 40M"/>
    <n v="434993.076"/>
    <n v="7.6999999999999999E-2"/>
    <n v="59"/>
    <n v="5414"/>
    <n v="429579.076"/>
    <m/>
    <m/>
    <m/>
    <m/>
    <m/>
    <m/>
    <n v="274516674.36000001"/>
  </r>
  <r>
    <n v="6"/>
    <n v="54"/>
    <s v="FABIND9INRDZI"/>
    <s v="INDUSTOWER"/>
    <s v="I"/>
    <s v="FI2627000156"/>
    <d v="2026-04-22T00:00:00"/>
    <s v="INR"/>
    <x v="11"/>
    <d v="2026-06-01T00:00:00"/>
    <d v="2026-04-23T00:00:00"/>
    <d v="2026-06-21T00:00:00"/>
    <n v="21129"/>
    <d v="2026-04-22T00:00:00"/>
    <m/>
    <m/>
    <s v="Tower- GBT- Elite 403 STR - 3L TBLR 40M"/>
    <n v="434993.076"/>
    <n v="7.6999999999999999E-2"/>
    <n v="59"/>
    <n v="5414"/>
    <n v="429579.076"/>
    <m/>
    <m/>
    <m/>
    <m/>
    <m/>
    <m/>
    <n v="274516674.36000001"/>
  </r>
  <r>
    <n v="7"/>
    <n v="55"/>
    <s v="FABIND9INRDZI"/>
    <s v="INDUSTOWER"/>
    <s v="I"/>
    <s v="FI2627000168"/>
    <d v="2026-04-23T00:00:00"/>
    <s v="INR"/>
    <x v="16"/>
    <d v="2026-06-02T00:00:00"/>
    <d v="2026-04-23T00:00:00"/>
    <d v="2026-06-22T00:00:00"/>
    <s v="11527"/>
    <d v="2026-04-23T00:00:00"/>
    <m/>
    <m/>
    <s v="Tower- GBT- Elite-402 - 3L TBLR 40M 140"/>
    <n v="410351.49"/>
    <n v="7.6999999999999999E-2"/>
    <n v="60"/>
    <n v="5194"/>
    <n v="405157.49"/>
    <m/>
    <m/>
    <m/>
    <m/>
    <m/>
    <m/>
    <n v="274544053.89999998"/>
  </r>
  <r>
    <n v="7"/>
    <n v="56"/>
    <s v="FABIND9INRDZI"/>
    <s v="INDUSTOWER"/>
    <s v="I"/>
    <s v="FI2627000169"/>
    <d v="2026-04-23T00:00:00"/>
    <s v="INR"/>
    <x v="11"/>
    <d v="2026-06-02T00:00:00"/>
    <d v="2026-04-23T00:00:00"/>
    <d v="2026-06-22T00:00:00"/>
    <s v="11528"/>
    <d v="2026-04-23T00:00:00"/>
    <m/>
    <m/>
    <s v="Tower- GBT- Elite 403 STR - 3L TBLR 40M"/>
    <n v="434993.076"/>
    <n v="7.6999999999999999E-2"/>
    <n v="60"/>
    <n v="5506"/>
    <n v="429487.076"/>
    <m/>
    <m/>
    <m/>
    <m/>
    <m/>
    <m/>
    <n v="274516674.36000001"/>
  </r>
  <r>
    <n v="8"/>
    <n v="57"/>
    <s v="FABIND9INRDZI"/>
    <s v="INDUSTOWER"/>
    <s v="I"/>
    <s v="FI2627000176"/>
    <d v="2026-04-24T00:00:00"/>
    <s v="INR"/>
    <x v="17"/>
    <d v="2026-06-03T00:00:00"/>
    <d v="2026-04-24T00:00:00"/>
    <d v="2026-06-23T00:00:00"/>
    <s v="10061"/>
    <d v="2026-04-24T00:00:00"/>
    <m/>
    <m/>
    <s v="TowerGBT-3 Leg Tubular VT30M 200 KMPH"/>
    <n v="616120.36200000008"/>
    <n v="7.6999999999999999E-2"/>
    <n v="60"/>
    <n v="7799"/>
    <n v="608321.36200000008"/>
    <m/>
    <m/>
    <m/>
    <m/>
    <m/>
    <m/>
    <n v="274315421.81999999"/>
  </r>
  <r>
    <n v="8"/>
    <n v="58"/>
    <s v="FABIND9INRDZI"/>
    <s v="INDUSTOWER"/>
    <s v="I"/>
    <s v="FI2627000177"/>
    <d v="2026-04-24T00:00:00"/>
    <s v="INR"/>
    <x v="18"/>
    <d v="2026-06-03T00:00:00"/>
    <d v="2026-04-24T00:00:00"/>
    <d v="2026-06-23T00:00:00"/>
    <s v="10062"/>
    <d v="2026-04-24T00:00:00"/>
    <m/>
    <m/>
    <s v="Cast In part GBT-3L TBLR VT30M 200KMPH"/>
    <n v="67737.546000000002"/>
    <n v="7.6999999999999999E-2"/>
    <n v="60"/>
    <n v="857"/>
    <n v="66880.546000000002"/>
    <m/>
    <m/>
    <m/>
    <m/>
    <m/>
    <m/>
    <n v="274924736.06"/>
  </r>
  <r>
    <n v="8"/>
    <n v="59"/>
    <s v="FABIND9INRDZI"/>
    <s v="INDUSTOWER"/>
    <s v="I"/>
    <s v="FI2627000178"/>
    <d v="2026-04-24T00:00:00"/>
    <s v="INR"/>
    <x v="17"/>
    <d v="2026-06-03T00:00:00"/>
    <d v="2026-04-24T00:00:00"/>
    <d v="2026-06-23T00:00:00"/>
    <s v="10063"/>
    <d v="2026-04-24T00:00:00"/>
    <m/>
    <m/>
    <s v="TowerGBT-3 Leg Tubular VT30M 200 KMPH"/>
    <n v="616120.36200000008"/>
    <n v="7.6999999999999999E-2"/>
    <n v="60"/>
    <n v="7799"/>
    <n v="608321.36200000008"/>
    <m/>
    <m/>
    <m/>
    <m/>
    <m/>
    <m/>
    <n v="274315421.81999999"/>
  </r>
  <r>
    <n v="8"/>
    <n v="60"/>
    <s v="FABIND9INRDZI"/>
    <s v="INDUSTOWER"/>
    <s v="I"/>
    <s v="FI2627000179"/>
    <d v="2026-04-24T00:00:00"/>
    <s v="INR"/>
    <x v="18"/>
    <d v="2026-06-03T00:00:00"/>
    <d v="2026-04-24T00:00:00"/>
    <d v="2026-06-23T00:00:00"/>
    <s v="10064"/>
    <d v="2026-04-24T00:00:00"/>
    <m/>
    <m/>
    <s v="Cast In part GBT-3L TBLR VT30M 200KMPH"/>
    <n v="67737.546000000002"/>
    <n v="7.6999999999999999E-2"/>
    <n v="60"/>
    <n v="857"/>
    <n v="66880.546000000002"/>
    <m/>
    <m/>
    <m/>
    <m/>
    <m/>
    <m/>
    <n v="274924736.06"/>
  </r>
  <r>
    <n v="8"/>
    <n v="61"/>
    <s v="FABIND9INRDZI"/>
    <s v="INDUSTOWER"/>
    <s v="I"/>
    <s v="FI2627000182"/>
    <d v="2026-04-24T00:00:00"/>
    <s v="INR"/>
    <x v="19"/>
    <d v="2026-06-03T00:00:00"/>
    <d v="2026-04-24T00:00:00"/>
    <d v="2026-06-23T00:00:00"/>
    <s v="806"/>
    <d v="2026-04-24T00:00:00"/>
    <m/>
    <m/>
    <s v="NBT 40Mtr Tower"/>
    <n v="517020.89400000003"/>
    <n v="7.6999999999999999E-2"/>
    <n v="60"/>
    <n v="6544"/>
    <n v="510476.89400000003"/>
    <m/>
    <m/>
    <m/>
    <m/>
    <m/>
    <m/>
    <n v="274425532.33999997"/>
  </r>
  <r>
    <n v="8"/>
    <n v="62"/>
    <s v="FABIND9INRDZI"/>
    <s v="INDUSTOWER"/>
    <s v="I"/>
    <s v="FI2627000183"/>
    <d v="2026-04-24T00:00:00"/>
    <s v="INR"/>
    <x v="19"/>
    <d v="2026-06-03T00:00:00"/>
    <d v="2026-04-24T00:00:00"/>
    <d v="2026-06-23T00:00:00"/>
    <s v="805"/>
    <d v="2026-04-24T00:00:00"/>
    <m/>
    <m/>
    <s v="NBT 40Mtr Tower"/>
    <n v="517020.89400000003"/>
    <n v="7.6999999999999999E-2"/>
    <n v="60"/>
    <n v="6544"/>
    <n v="510476.89400000003"/>
    <m/>
    <m/>
    <m/>
    <m/>
    <m/>
    <m/>
    <n v="274425532.33999997"/>
  </r>
  <r>
    <n v="8"/>
    <n v="63"/>
    <s v="FABIND9INRDZI"/>
    <s v="INDUSTOWER"/>
    <s v="I"/>
    <s v="FI2627000184"/>
    <d v="2026-04-24T00:00:00"/>
    <s v="INR"/>
    <x v="19"/>
    <d v="2026-06-03T00:00:00"/>
    <d v="2026-04-24T00:00:00"/>
    <d v="2026-06-23T00:00:00"/>
    <s v="807"/>
    <d v="2026-04-24T00:00:00"/>
    <m/>
    <m/>
    <s v="NBT 40Mtr Tower"/>
    <n v="517020.89400000003"/>
    <n v="7.6999999999999999E-2"/>
    <n v="60"/>
    <n v="6544"/>
    <n v="510476.89400000003"/>
    <m/>
    <m/>
    <m/>
    <m/>
    <m/>
    <m/>
    <n v="274425532.33999997"/>
  </r>
  <r>
    <n v="8"/>
    <n v="64"/>
    <s v="FABIND9INRDZI"/>
    <s v="INDUSTOWER"/>
    <s v="I"/>
    <s v="FI2627000185"/>
    <d v="2026-04-24T00:00:00"/>
    <s v="INR"/>
    <x v="19"/>
    <d v="2026-06-03T00:00:00"/>
    <d v="2026-04-24T00:00:00"/>
    <d v="2026-06-23T00:00:00"/>
    <s v="10066"/>
    <d v="2026-04-24T00:00:00"/>
    <m/>
    <m/>
    <s v="NBT 40Mtr Tower"/>
    <n v="517020.89400000003"/>
    <n v="7.6999999999999999E-2"/>
    <n v="60"/>
    <n v="6544"/>
    <n v="510476.89400000003"/>
    <m/>
    <m/>
    <m/>
    <m/>
    <m/>
    <m/>
    <n v="274425532.33999997"/>
  </r>
  <r>
    <n v="8"/>
    <n v="65"/>
    <s v="FABIND9INRDZI"/>
    <s v="INDUSTOWER"/>
    <s v="I"/>
    <s v="FI2627000186"/>
    <d v="2026-04-24T00:00:00"/>
    <s v="INR"/>
    <x v="19"/>
    <d v="2026-06-03T00:00:00"/>
    <d v="2026-04-24T00:00:00"/>
    <d v="2026-06-23T00:00:00"/>
    <s v="10067"/>
    <d v="2026-04-24T00:00:00"/>
    <m/>
    <m/>
    <s v="NBT 40Mtr Tower"/>
    <n v="517020.89400000003"/>
    <n v="7.6999999999999999E-2"/>
    <n v="60"/>
    <n v="6544"/>
    <n v="510476.89400000003"/>
    <m/>
    <m/>
    <m/>
    <m/>
    <m/>
    <m/>
    <n v="274425532.33999997"/>
  </r>
  <r>
    <n v="8"/>
    <n v="66"/>
    <s v="FABIND9INRDZI"/>
    <s v="INDUSTOWER"/>
    <s v="I"/>
    <s v="FI2627000188"/>
    <d v="2026-04-24T00:00:00"/>
    <s v="INR"/>
    <x v="14"/>
    <d v="2026-06-03T00:00:00"/>
    <d v="2026-04-24T00:00:00"/>
    <d v="2026-06-23T00:00:00"/>
    <s v="11529"/>
    <d v="2026-04-24T00:00:00"/>
    <m/>
    <m/>
    <s v="TOWER GBT 3Legged VM 30M 170KMPH"/>
    <n v="433502.02799999999"/>
    <n v="7.6999999999999999E-2"/>
    <n v="60"/>
    <n v="5487"/>
    <n v="428015.02799999999"/>
    <m/>
    <m/>
    <m/>
    <m/>
    <m/>
    <m/>
    <n v="274518331.07999998"/>
  </r>
  <r>
    <n v="9"/>
    <n v="67"/>
    <s v="FABIND9INRDZI"/>
    <s v="INDUSTOWER"/>
    <s v="I"/>
    <s v="FI2627000196"/>
    <d v="2026-04-26T00:00:00"/>
    <s v="INR"/>
    <x v="19"/>
    <d v="2026-06-05T00:00:00"/>
    <d v="2026-04-27T00:00:00"/>
    <d v="2026-06-25T00:00:00"/>
    <s v="78526"/>
    <d v="2026-04-26T00:00:00"/>
    <m/>
    <m/>
    <s v="NBT 40Mtr Tower"/>
    <n v="517020.89400000003"/>
    <n v="7.6999999999999999E-2"/>
    <n v="59"/>
    <n v="6435"/>
    <n v="510585.89400000003"/>
    <m/>
    <m/>
    <m/>
    <m/>
    <m/>
    <m/>
    <n v="274425532.33999997"/>
  </r>
  <r>
    <n v="9"/>
    <n v="68"/>
    <s v="FABIND9INRDZI"/>
    <s v="INDUSTOWER"/>
    <s v="I"/>
    <s v="FI2627000197"/>
    <d v="2026-04-26T00:00:00"/>
    <s v="INR"/>
    <x v="19"/>
    <d v="2026-06-05T00:00:00"/>
    <d v="2026-04-27T00:00:00"/>
    <d v="2026-06-25T00:00:00"/>
    <s v="10070"/>
    <d v="2026-04-26T00:00:00"/>
    <m/>
    <m/>
    <s v="NBT 40Mtr Tower"/>
    <n v="517020.89400000003"/>
    <n v="7.6999999999999999E-2"/>
    <n v="59"/>
    <n v="6435"/>
    <n v="510585.89400000003"/>
    <m/>
    <m/>
    <m/>
    <m/>
    <m/>
    <m/>
    <n v="274425532.33999997"/>
  </r>
  <r>
    <n v="9"/>
    <n v="69"/>
    <s v="FABIND9INRDZI"/>
    <s v="INDUSTOWER"/>
    <s v="I"/>
    <s v="FI2627000198"/>
    <d v="2026-04-26T00:00:00"/>
    <s v="INR"/>
    <x v="19"/>
    <d v="2026-06-05T00:00:00"/>
    <d v="2026-04-27T00:00:00"/>
    <d v="2026-06-25T00:00:00"/>
    <s v="810"/>
    <d v="2026-04-26T00:00:00"/>
    <m/>
    <m/>
    <s v="NBT 40Mtr Tower"/>
    <n v="517020.89400000003"/>
    <n v="7.6999999999999999E-2"/>
    <n v="59"/>
    <n v="6435"/>
    <n v="510585.89400000003"/>
    <m/>
    <m/>
    <m/>
    <m/>
    <m/>
    <m/>
    <n v="274425532.33999997"/>
  </r>
  <r>
    <n v="9"/>
    <n v="70"/>
    <s v="FABIND9INRDZI"/>
    <s v="INDUSTOWER"/>
    <s v="I"/>
    <s v="FI2627000199"/>
    <d v="2026-04-26T00:00:00"/>
    <s v="INR"/>
    <x v="19"/>
    <d v="2026-06-05T00:00:00"/>
    <d v="2026-04-27T00:00:00"/>
    <d v="2026-06-25T00:00:00"/>
    <s v="11530"/>
    <d v="2026-04-26T00:00:00"/>
    <m/>
    <m/>
    <s v="NBT 40Mtr Tower"/>
    <n v="517020.89400000003"/>
    <n v="7.6999999999999999E-2"/>
    <n v="59"/>
    <n v="6435"/>
    <n v="510585.89400000003"/>
    <m/>
    <m/>
    <m/>
    <m/>
    <m/>
    <m/>
    <n v="274425532.33999997"/>
  </r>
  <r>
    <n v="0"/>
    <n v="71"/>
    <s v="FABIND9INRDZI"/>
    <s v="RELIANCEIN"/>
    <s v="I"/>
    <s v="FI2526009378"/>
    <d v="2026-03-12T00:00:00"/>
    <s v="INR"/>
    <x v="20"/>
    <d v="2026-04-25T00:00:00"/>
    <d v="2026-04-23T00:00:00"/>
    <d v="2026-05-15T00:00:00"/>
    <m/>
    <d v="2026-03-12T00:00:00"/>
    <m/>
    <m/>
    <m/>
    <n v="687876.66899999999"/>
    <n v="7.6999999999999999E-2"/>
    <n v="22"/>
    <n v="3193"/>
    <n v="684683.66899999999"/>
    <m/>
    <m/>
    <m/>
    <m/>
    <m/>
    <m/>
    <n v="219235692.59"/>
  </r>
  <r>
    <n v="1"/>
    <n v="72"/>
    <s v="FABIND9INRDZI"/>
    <s v="RELIANCEIN"/>
    <s v="I"/>
    <s v="FI2627000094"/>
    <d v="2026-04-16T00:00:00"/>
    <s v="INR"/>
    <x v="21"/>
    <d v="2026-05-30T00:00:00"/>
    <d v="2026-04-20T00:00:00"/>
    <d v="2026-06-19T00:00:00"/>
    <n v="2000146043"/>
    <d v="2026-04-16T00:00:00"/>
    <m/>
    <m/>
    <s v="CIP for 12/18 Panel Structure_New Design"/>
    <n v="740214"/>
    <n v="7.6999999999999999E-2"/>
    <n v="60"/>
    <n v="9369"/>
    <n v="730845"/>
    <m/>
    <m/>
    <m/>
    <m/>
    <m/>
    <m/>
    <n v="219177540"/>
  </r>
  <r>
    <n v="1"/>
    <n v="73"/>
    <s v="FABIND9INRDZI"/>
    <s v="RELIANCEIN"/>
    <s v="I"/>
    <s v="FI2627000107"/>
    <d v="2026-04-19T00:00:00"/>
    <s v="INR"/>
    <x v="21"/>
    <d v="2026-06-02T00:00:00"/>
    <d v="2026-04-20T00:00:00"/>
    <d v="2026-06-22T00:00:00"/>
    <n v="2000146110"/>
    <d v="2026-04-19T00:00:00"/>
    <m/>
    <m/>
    <s v="CIP for 12/18 Panel Structure_New Design"/>
    <n v="740214"/>
    <n v="7.6999999999999999E-2"/>
    <n v="63"/>
    <n v="9838"/>
    <n v="730376"/>
    <m/>
    <m/>
    <m/>
    <m/>
    <m/>
    <m/>
    <n v="219177540"/>
  </r>
  <r>
    <n v="2"/>
    <n v="74"/>
    <s v="FABIND9INRDZI"/>
    <s v="RELIANCEIN"/>
    <s v="I"/>
    <s v="FI2627000123"/>
    <d v="2026-04-20T00:00:00"/>
    <s v="INR"/>
    <x v="22"/>
    <d v="2026-06-03T00:00:00"/>
    <d v="2026-04-23T00:00:00"/>
    <d v="2026-06-23T00:00:00"/>
    <n v="2000146126"/>
    <d v="2026-04-20T00:00:00"/>
    <m/>
    <m/>
    <s v="TOWER12A TUBULR3 LEG W PLT &amp; FNCE-FAB"/>
    <n v="689835.90599999996"/>
    <n v="7.6999999999999999E-2"/>
    <n v="61"/>
    <n v="8877"/>
    <n v="680958.90599999996"/>
    <m/>
    <m/>
    <m/>
    <m/>
    <m/>
    <m/>
    <n v="219233515.66"/>
  </r>
  <r>
    <n v="2"/>
    <n v="75"/>
    <s v="FABIND9INRDZI"/>
    <s v="RELIANCEIN"/>
    <s v="I"/>
    <s v="FI2627000124"/>
    <d v="2026-04-20T00:00:00"/>
    <s v="INR"/>
    <x v="22"/>
    <d v="2026-06-03T00:00:00"/>
    <d v="2026-04-23T00:00:00"/>
    <d v="2026-06-23T00:00:00"/>
    <n v="2000146129"/>
    <d v="2026-04-20T00:00:00"/>
    <m/>
    <m/>
    <s v="TOWER12A TUBULR3 LEG W PLT &amp; FNCE-FAB"/>
    <n v="689835.90599999996"/>
    <n v="7.6999999999999999E-2"/>
    <n v="61"/>
    <n v="8877"/>
    <n v="680958.90599999996"/>
    <m/>
    <m/>
    <m/>
    <m/>
    <m/>
    <m/>
    <n v="219233515.66"/>
  </r>
  <r>
    <n v="2"/>
    <n v="76"/>
    <s v="FABIND9INRDZI"/>
    <s v="RELIANCEIN"/>
    <s v="I"/>
    <s v="FI2627000125"/>
    <d v="2026-04-20T00:00:00"/>
    <s v="INR"/>
    <x v="22"/>
    <d v="2026-06-03T00:00:00"/>
    <d v="2026-04-23T00:00:00"/>
    <d v="2026-06-23T00:00:00"/>
    <n v="2000146130"/>
    <d v="2026-04-20T00:00:00"/>
    <m/>
    <m/>
    <s v="TOWER12A TUBULR3 LEG W PLT &amp; FNCE-FAB"/>
    <n v="689835.90599999996"/>
    <n v="7.6999999999999999E-2"/>
    <n v="61"/>
    <n v="8877"/>
    <n v="680958.90599999996"/>
    <m/>
    <m/>
    <m/>
    <m/>
    <m/>
    <m/>
    <n v="219233515.66"/>
  </r>
  <r>
    <n v="2"/>
    <n v="77"/>
    <s v="FABIND9INRDZI"/>
    <s v="RELIANCEIN"/>
    <s v="I"/>
    <s v="FI2627000126"/>
    <d v="2026-04-20T00:00:00"/>
    <s v="INR"/>
    <x v="22"/>
    <d v="2026-06-03T00:00:00"/>
    <d v="2026-04-23T00:00:00"/>
    <d v="2026-06-23T00:00:00"/>
    <n v="2000146128"/>
    <d v="2026-04-20T00:00:00"/>
    <m/>
    <m/>
    <s v="TOWER12A TUBULR3 LEG W PLT &amp; FNCE-FAB"/>
    <n v="689835.90599999996"/>
    <n v="7.6999999999999999E-2"/>
    <n v="61"/>
    <n v="8877"/>
    <n v="680958.90599999996"/>
    <m/>
    <m/>
    <m/>
    <m/>
    <m/>
    <m/>
    <n v="219233515.66"/>
  </r>
  <r>
    <n v="2"/>
    <n v="78"/>
    <s v="FABIND9INRDZI"/>
    <s v="RELIANCEIN"/>
    <s v="I"/>
    <s v="FI2627000143"/>
    <d v="2026-04-21T00:00:00"/>
    <s v="INR"/>
    <x v="21"/>
    <d v="2026-06-04T00:00:00"/>
    <d v="2026-04-23T00:00:00"/>
    <d v="2026-06-24T00:00:00"/>
    <n v="2000146147"/>
    <d v="2026-04-21T00:00:00"/>
    <m/>
    <m/>
    <s v="CIP for 12/18 Panel Structure_New Design"/>
    <n v="740214"/>
    <n v="7.6999999999999999E-2"/>
    <n v="62"/>
    <n v="9682"/>
    <n v="730532"/>
    <m/>
    <m/>
    <m/>
    <m/>
    <m/>
    <m/>
    <n v="219177540"/>
  </r>
  <r>
    <n v="2"/>
    <n v="79"/>
    <s v="FABIND9INRDZI"/>
    <s v="RELIANCEIN"/>
    <s v="I"/>
    <s v="FI2627000146"/>
    <d v="2026-04-21T00:00:00"/>
    <s v="INR"/>
    <x v="21"/>
    <d v="2026-06-04T00:00:00"/>
    <d v="2026-04-23T00:00:00"/>
    <d v="2026-06-24T00:00:00"/>
    <n v="2000146148"/>
    <d v="2026-04-21T00:00:00"/>
    <m/>
    <m/>
    <s v="CIP for 12/18 Panel Structure_New Design"/>
    <n v="740214"/>
    <n v="7.6999999999999999E-2"/>
    <n v="62"/>
    <n v="9682"/>
    <n v="730532"/>
    <m/>
    <m/>
    <m/>
    <m/>
    <m/>
    <m/>
    <n v="219177540"/>
  </r>
  <r>
    <n v="3"/>
    <n v="80"/>
    <s v="FABIND9INRDZI"/>
    <s v="RELIANCEIN"/>
    <s v="I"/>
    <s v="FI2627000154"/>
    <d v="2026-04-22T00:00:00"/>
    <s v="INR"/>
    <x v="23"/>
    <d v="2026-06-05T00:00:00"/>
    <d v="2026-04-23T00:00:00"/>
    <d v="2026-06-25T00:00:00"/>
    <n v="2000146151"/>
    <d v="2026-04-22T00:00:00"/>
    <m/>
    <m/>
    <s v="TOWER12A TUBULR3 LEG W PLT &amp; FNCE-FAB"/>
    <n v="962278.20000000007"/>
    <n v="7.6999999999999999E-2"/>
    <n v="63"/>
    <n v="12789"/>
    <n v="949489.20000000007"/>
    <m/>
    <m/>
    <m/>
    <m/>
    <m/>
    <m/>
    <n v="218930802"/>
  </r>
  <r>
    <n v="4"/>
    <n v="81"/>
    <s v="FABIND9INRDZI"/>
    <s v="RELIANCEIN"/>
    <s v="I"/>
    <s v="FI2627000164"/>
    <d v="2026-04-23T00:00:00"/>
    <s v="INR"/>
    <x v="24"/>
    <d v="2026-06-06T00:00:00"/>
    <d v="2026-04-23T00:00:00"/>
    <d v="2026-06-26T00:00:00"/>
    <s v="2000146179"/>
    <d v="2026-04-23T00:00:00"/>
    <m/>
    <m/>
    <s v="GBM30MTRIBANDLOADING50M/S-FAB"/>
    <n v="825174"/>
    <n v="7.6999999999999999E-2"/>
    <n v="64"/>
    <n v="11141"/>
    <n v="814033"/>
    <m/>
    <m/>
    <m/>
    <m/>
    <m/>
    <m/>
    <n v="219083140"/>
  </r>
  <r>
    <n v="4"/>
    <n v="82"/>
    <s v="FABIND9INRDZI"/>
    <s v="RELIANCEIN"/>
    <s v="I"/>
    <s v="FI2627000165"/>
    <d v="2026-04-23T00:00:00"/>
    <s v="INR"/>
    <x v="25"/>
    <d v="2026-06-06T00:00:00"/>
    <d v="2026-04-23T00:00:00"/>
    <d v="2026-06-26T00:00:00"/>
    <s v="2000146180"/>
    <d v="2026-04-23T00:00:00"/>
    <m/>
    <m/>
    <s v="TUBULAR POLE 23M HIGH WS-50M/S"/>
    <n v="763200.99"/>
    <n v="7.6999999999999999E-2"/>
    <n v="64"/>
    <n v="10304"/>
    <n v="752896.99"/>
    <m/>
    <m/>
    <m/>
    <m/>
    <m/>
    <m/>
    <n v="219151998.90000001"/>
  </r>
  <r>
    <n v="4"/>
    <n v="83"/>
    <s v="FABIND9INRDZI"/>
    <s v="RELIANCEIN"/>
    <s v="I"/>
    <s v="FI2627000170"/>
    <d v="2026-04-23T00:00:00"/>
    <s v="INR"/>
    <x v="22"/>
    <d v="2026-06-06T00:00:00"/>
    <d v="2026-04-23T00:00:00"/>
    <d v="2026-06-26T00:00:00"/>
    <s v="2000146185"/>
    <d v="2026-04-23T00:00:00"/>
    <m/>
    <m/>
    <s v="TOWER12A TUBULR3 LEG W PLT &amp; FNCE-FAB"/>
    <n v="689835.90599999996"/>
    <n v="7.6999999999999999E-2"/>
    <n v="64"/>
    <n v="9314"/>
    <n v="680521.90599999996"/>
    <m/>
    <m/>
    <m/>
    <m/>
    <m/>
    <m/>
    <n v="219233515.66"/>
  </r>
  <r>
    <n v="4"/>
    <n v="84"/>
    <s v="FABIND9INRDZI"/>
    <s v="RELIANCEIN"/>
    <s v="I"/>
    <s v="FI2627000171"/>
    <d v="2026-04-23T00:00:00"/>
    <s v="INR"/>
    <x v="22"/>
    <d v="2026-06-06T00:00:00"/>
    <d v="2026-04-23T00:00:00"/>
    <d v="2026-06-26T00:00:00"/>
    <s v="2000146189"/>
    <d v="2026-04-23T00:00:00"/>
    <m/>
    <m/>
    <s v="TOWER12A TUBULR3 LEG W PLT &amp; FNCE-FAB"/>
    <n v="689835.90599999996"/>
    <n v="7.6999999999999999E-2"/>
    <n v="64"/>
    <n v="9314"/>
    <n v="680521.90599999996"/>
    <m/>
    <m/>
    <m/>
    <m/>
    <m/>
    <m/>
    <n v="219233515.66"/>
  </r>
  <r>
    <n v="4"/>
    <n v="85"/>
    <s v="FABIND9INRDZI"/>
    <s v="RELIANCEIN"/>
    <s v="I"/>
    <s v="FI2627000175"/>
    <d v="2026-04-23T00:00:00"/>
    <s v="INR"/>
    <x v="22"/>
    <d v="2026-06-06T00:00:00"/>
    <d v="2026-04-23T00:00:00"/>
    <d v="2026-06-26T00:00:00"/>
    <s v="2000146186"/>
    <d v="2026-04-23T00:00:00"/>
    <m/>
    <m/>
    <s v="TOWER12A TUBULR3 LEG W PLT &amp; FNCE-FAB"/>
    <n v="689835.90599999996"/>
    <n v="7.6999999999999999E-2"/>
    <n v="64"/>
    <n v="9314"/>
    <n v="680521.90599999996"/>
    <m/>
    <m/>
    <m/>
    <m/>
    <m/>
    <m/>
    <n v="219233515.66"/>
  </r>
  <r>
    <n v="5"/>
    <n v="86"/>
    <s v="FABIND9INRDZI"/>
    <s v="RELIANCEIN"/>
    <s v="I"/>
    <s v="FI2627000181"/>
    <d v="2026-04-24T00:00:00"/>
    <s v="INR"/>
    <x v="22"/>
    <d v="2026-06-07T00:00:00"/>
    <d v="2026-04-24T00:00:00"/>
    <d v="2026-06-27T00:00:00"/>
    <s v="2000146210"/>
    <d v="2026-04-24T00:00:00"/>
    <m/>
    <m/>
    <s v="TOWER12A TUBULR3 LEG W PLT &amp; FNCE-FAB"/>
    <n v="689835.90599999996"/>
    <n v="7.6999999999999999E-2"/>
    <n v="64"/>
    <n v="9314"/>
    <n v="680521.90599999996"/>
    <m/>
    <m/>
    <m/>
    <m/>
    <m/>
    <m/>
    <n v="219233515.66"/>
  </r>
  <r>
    <n v="5"/>
    <n v="87"/>
    <s v="FABIND9INRDZI"/>
    <s v="RELIANCEIN"/>
    <s v="I"/>
    <s v="FI2627000187"/>
    <d v="2026-04-24T00:00:00"/>
    <s v="INR"/>
    <x v="22"/>
    <d v="2026-06-07T00:00:00"/>
    <d v="2026-04-24T00:00:00"/>
    <d v="2026-06-27T00:00:00"/>
    <s v="2000146212"/>
    <d v="2026-04-24T00:00:00"/>
    <m/>
    <m/>
    <s v="TOWER12A TUBULR3 LEG W PLT &amp; FNCE-FAB"/>
    <n v="689835.90599999996"/>
    <n v="7.6999999999999999E-2"/>
    <n v="64"/>
    <n v="9314"/>
    <n v="680521.90599999996"/>
    <m/>
    <m/>
    <m/>
    <m/>
    <m/>
    <m/>
    <n v="219233515.66"/>
  </r>
  <r>
    <n v="6"/>
    <n v="88"/>
    <s v="FABIND9INRDZI"/>
    <s v="RELIANCEIN"/>
    <s v="I"/>
    <s v="FI2627000191"/>
    <d v="2026-04-24T00:00:00"/>
    <s v="INR"/>
    <x v="26"/>
    <d v="2026-06-07T00:00:00"/>
    <d v="2026-04-27T00:00:00"/>
    <d v="2026-06-27T00:00:00"/>
    <s v="2000146217"/>
    <d v="2026-04-24T00:00:00"/>
    <m/>
    <m/>
    <s v="GBT60M11A-STR439M/STUBLR3L W FENCE"/>
    <n v="1036629.882"/>
    <n v="7.6999999999999999E-2"/>
    <n v="61"/>
    <n v="13340"/>
    <n v="1023289.882"/>
    <m/>
    <m/>
    <m/>
    <m/>
    <m/>
    <m/>
    <n v="218848189.02000001"/>
  </r>
  <r>
    <n v="6"/>
    <n v="89"/>
    <s v="FABIND9INRDZI"/>
    <s v="RELIANCEIN"/>
    <s v="I"/>
    <s v="FI2627000201"/>
    <d v="2026-04-26T00:00:00"/>
    <s v="INR"/>
    <x v="22"/>
    <d v="2026-06-09T00:00:00"/>
    <d v="2026-04-27T00:00:00"/>
    <d v="2026-06-29T00:00:00"/>
    <s v="2000146236"/>
    <d v="2026-04-26T00:00:00"/>
    <m/>
    <m/>
    <s v="TOWER12A TUBULR3 LEG W PLT &amp; FNCE-FAB"/>
    <n v="689835.90599999996"/>
    <n v="7.6999999999999999E-2"/>
    <n v="63"/>
    <n v="9168"/>
    <n v="680667.90599999996"/>
    <m/>
    <m/>
    <m/>
    <m/>
    <m/>
    <m/>
    <n v="219233515.66"/>
  </r>
  <r>
    <n v="0"/>
    <n v="90"/>
    <s v="FABIND9INRDZI"/>
    <s v="SIEMENSLTD"/>
    <s v="I"/>
    <s v="FI2526007253"/>
    <d v="2025-12-29T00:00:00"/>
    <s v="INR"/>
    <x v="27"/>
    <d v="2026-04-28T00:00:00"/>
    <d v="2026-02-09T00:00:00"/>
    <d v="2026-05-18T00:00:00"/>
    <m/>
    <d v="2025-12-29T00:00:00"/>
    <m/>
    <m/>
    <m/>
    <n v="15428440.206"/>
    <n v="7.6999999999999999E-2"/>
    <n v="98"/>
    <n v="318967"/>
    <n v="15109473.206"/>
    <m/>
    <m/>
    <m/>
    <m/>
    <m/>
    <m/>
    <n v="66187288.659999996"/>
  </r>
  <r>
    <n v="0"/>
    <n v="91"/>
    <s v="FABIND9INRDZI"/>
    <s v="SIEMENSLTD"/>
    <s v="I"/>
    <s v="FI2526007571"/>
    <d v="2026-01-15T00:00:00"/>
    <s v="INR"/>
    <x v="28"/>
    <d v="2026-05-15T00:00:00"/>
    <d v="2026-02-09T00:00:00"/>
    <d v="2026-06-04T00:00:00"/>
    <m/>
    <d v="2026-01-15T00:00:00"/>
    <m/>
    <m/>
    <m/>
    <n v="36192.6"/>
    <n v="7.6999999999999999E-2"/>
    <n v="115"/>
    <n v="878"/>
    <n v="35314.6"/>
    <m/>
    <m/>
    <m/>
    <m/>
    <m/>
    <m/>
    <n v="83289786"/>
  </r>
  <r>
    <n v="0"/>
    <n v="92"/>
    <s v="FABIND9INRDZI"/>
    <s v="SIEMENSLTD"/>
    <s v="I"/>
    <s v="FI2526007776"/>
    <d v="2026-01-21T00:00:00"/>
    <s v="INR"/>
    <x v="29"/>
    <d v="2026-05-21T00:00:00"/>
    <d v="2026-02-09T00:00:00"/>
    <d v="2026-06-10T00:00:00"/>
    <m/>
    <d v="2026-01-21T00:00:00"/>
    <m/>
    <m/>
    <m/>
    <n v="9541.8000000000011"/>
    <n v="7.6999999999999999E-2"/>
    <n v="121"/>
    <n v="244"/>
    <n v="9297.8000000000011"/>
    <m/>
    <m/>
    <m/>
    <m/>
    <m/>
    <m/>
    <n v="83319398"/>
  </r>
  <r>
    <n v="0"/>
    <n v="93"/>
    <s v="FABIND9INRDZI"/>
    <s v="SIEMENSLTD"/>
    <s v="I"/>
    <s v="FI2526007863"/>
    <d v="2026-01-24T00:00:00"/>
    <s v="INR"/>
    <x v="30"/>
    <d v="2026-05-24T00:00:00"/>
    <d v="2026-02-09T00:00:00"/>
    <d v="2026-06-13T00:00:00"/>
    <m/>
    <d v="2026-01-24T00:00:00"/>
    <m/>
    <m/>
    <m/>
    <n v="4354857"/>
    <n v="7.6999999999999999E-2"/>
    <n v="124"/>
    <n v="113918"/>
    <n v="4240939"/>
    <m/>
    <m/>
    <m/>
    <m/>
    <m/>
    <m/>
    <n v="78491270"/>
  </r>
  <r>
    <n v="0"/>
    <n v="94"/>
    <s v="FABIND9INRDZI"/>
    <s v="SIEMENSLTD"/>
    <s v="I"/>
    <s v="FI2526008626"/>
    <d v="2026-02-19T00:00:00"/>
    <s v="INR"/>
    <x v="31"/>
    <d v="2026-06-19T00:00:00"/>
    <d v="2026-04-17T00:00:00"/>
    <d v="2026-07-09T00:00:00"/>
    <m/>
    <d v="2026-02-19T00:00:00"/>
    <m/>
    <m/>
    <m/>
    <n v="76134.78"/>
    <n v="7.6999999999999999E-2"/>
    <n v="83"/>
    <n v="1333"/>
    <n v="74801.78"/>
    <m/>
    <m/>
    <m/>
    <m/>
    <m/>
    <m/>
    <n v="83245405.799999997"/>
  </r>
  <r>
    <n v="0"/>
    <n v="95"/>
    <s v="FABIND9INRDZI"/>
    <s v="SIEMENSLTD"/>
    <s v="I"/>
    <s v="FI2526008627"/>
    <d v="2026-02-19T00:00:00"/>
    <s v="INR"/>
    <x v="32"/>
    <d v="2026-06-19T00:00:00"/>
    <d v="2026-04-17T00:00:00"/>
    <d v="2026-07-09T00:00:00"/>
    <m/>
    <d v="2026-02-19T00:00:00"/>
    <m/>
    <m/>
    <m/>
    <n v="83112.12000000001"/>
    <n v="7.6999999999999999E-2"/>
    <n v="83"/>
    <n v="1455"/>
    <n v="81657.12000000001"/>
    <m/>
    <m/>
    <m/>
    <m/>
    <m/>
    <m/>
    <n v="83237653.200000003"/>
  </r>
  <r>
    <n v="0"/>
    <n v="96"/>
    <s v="FABIND9INRDZI"/>
    <s v="SIEMENSLTD"/>
    <s v="I"/>
    <s v="FI2526008643"/>
    <d v="2026-02-20T00:00:00"/>
    <s v="INR"/>
    <x v="33"/>
    <d v="2026-06-20T00:00:00"/>
    <d v="2026-04-17T00:00:00"/>
    <d v="2026-07-10T00:00:00"/>
    <m/>
    <d v="2026-02-20T00:00:00"/>
    <m/>
    <m/>
    <m/>
    <n v="7506.2160000000003"/>
    <n v="7.6999999999999999E-2"/>
    <n v="84"/>
    <n v="133"/>
    <n v="7373.2160000000003"/>
    <m/>
    <m/>
    <m/>
    <m/>
    <m/>
    <m/>
    <n v="83321659.760000005"/>
  </r>
  <r>
    <n v="0"/>
    <n v="97"/>
    <s v="FABIND9INRDZI"/>
    <s v="SIEMENSLTD"/>
    <s v="I"/>
    <s v="FI2526008847"/>
    <d v="2026-02-24T00:00:00"/>
    <s v="INR"/>
    <x v="34"/>
    <d v="2026-06-24T00:00:00"/>
    <d v="2026-04-17T00:00:00"/>
    <d v="2026-07-14T00:00:00"/>
    <m/>
    <d v="2026-02-24T00:00:00"/>
    <m/>
    <m/>
    <m/>
    <n v="1191617.1000000001"/>
    <n v="7.6999999999999999E-2"/>
    <n v="88"/>
    <n v="22122"/>
    <n v="1169495.1000000001"/>
    <m/>
    <m/>
    <m/>
    <m/>
    <m/>
    <m/>
    <n v="82005981"/>
  </r>
  <r>
    <n v="0"/>
    <n v="98"/>
    <s v="FABIND9INRDZI"/>
    <s v="SIEMENSLTD"/>
    <s v="I"/>
    <s v="FI2526009296"/>
    <d v="2026-03-10T00:00:00"/>
    <s v="INR"/>
    <x v="35"/>
    <d v="2026-07-08T00:00:00"/>
    <d v="2026-04-17T00:00:00"/>
    <d v="2026-07-28T00:00:00"/>
    <m/>
    <d v="2026-03-10T00:00:00"/>
    <m/>
    <m/>
    <m/>
    <n v="494039.21399999998"/>
    <n v="7.6999999999999999E-2"/>
    <n v="102"/>
    <n v="10631"/>
    <n v="483408.21399999998"/>
    <m/>
    <m/>
    <m/>
    <m/>
    <m/>
    <m/>
    <n v="82781067.540000007"/>
  </r>
  <r>
    <n v="0"/>
    <n v="99"/>
    <s v="FABIND9INRDZI"/>
    <s v="SIEMENSLTD"/>
    <s v="I"/>
    <s v="FI2526009297"/>
    <d v="2026-03-10T00:00:00"/>
    <s v="INR"/>
    <x v="36"/>
    <d v="2026-07-08T00:00:00"/>
    <d v="2026-04-17T00:00:00"/>
    <d v="2026-07-28T00:00:00"/>
    <m/>
    <d v="2026-03-10T00:00:00"/>
    <m/>
    <m/>
    <m/>
    <n v="1019136.618"/>
    <n v="7.6999999999999999E-2"/>
    <n v="102"/>
    <n v="21930"/>
    <n v="997206.61800000002"/>
    <m/>
    <m/>
    <m/>
    <m/>
    <m/>
    <m/>
    <n v="82197625.980000004"/>
  </r>
  <r>
    <n v="0"/>
    <n v="100"/>
    <s v="FABIND9INRDZI"/>
    <s v="SIEMENSLTD"/>
    <s v="I"/>
    <s v="FI2526009375"/>
    <d v="2026-03-13T00:00:00"/>
    <s v="INR"/>
    <x v="37"/>
    <d v="2026-07-11T00:00:00"/>
    <d v="2026-04-17T00:00:00"/>
    <d v="2026-07-31T00:00:00"/>
    <m/>
    <d v="2026-03-13T00:00:00"/>
    <m/>
    <m/>
    <m/>
    <n v="1890353.628"/>
    <n v="7.6999999999999999E-2"/>
    <n v="105"/>
    <n v="41873"/>
    <n v="1848480.628"/>
    <m/>
    <m/>
    <m/>
    <m/>
    <m/>
    <m/>
    <n v="81229607.079999998"/>
  </r>
  <r>
    <n v="0"/>
    <n v="101"/>
    <s v="FABIND9INRDZI"/>
    <s v="SIEMENSLTD"/>
    <s v="I"/>
    <s v="FI2526009442"/>
    <d v="2026-03-16T00:00:00"/>
    <s v="INR"/>
    <x v="38"/>
    <d v="2026-07-14T00:00:00"/>
    <d v="2026-04-17T00:00:00"/>
    <d v="2026-08-03T00:00:00"/>
    <m/>
    <d v="2026-03-16T00:00:00"/>
    <m/>
    <m/>
    <m/>
    <n v="2660912.1540000001"/>
    <n v="7.6999999999999999E-2"/>
    <n v="108"/>
    <n v="60625"/>
    <n v="2600287.1540000001"/>
    <m/>
    <m/>
    <m/>
    <m/>
    <m/>
    <m/>
    <n v="80373430.939999998"/>
  </r>
  <r>
    <n v="0"/>
    <n v="102"/>
    <s v="FABIND9INRDZI"/>
    <s v="SIEMENSLTD"/>
    <s v="I"/>
    <s v="FI2526009688"/>
    <d v="2026-03-26T00:00:00"/>
    <s v="INR"/>
    <x v="39"/>
    <d v="2026-07-24T00:00:00"/>
    <d v="2026-04-17T00:00:00"/>
    <d v="2026-08-13T00:00:00"/>
    <m/>
    <d v="2026-03-26T00:00:00"/>
    <m/>
    <m/>
    <m/>
    <n v="405998.35200000001"/>
    <n v="7.6999999999999999E-2"/>
    <n v="118"/>
    <n v="10107"/>
    <n v="395891.35200000001"/>
    <m/>
    <m/>
    <m/>
    <m/>
    <m/>
    <m/>
    <n v="82878890.719999999"/>
  </r>
  <r>
    <n v="0"/>
    <n v="103"/>
    <s v="FABIND9INRDZI"/>
    <s v="SIEMENSLTD"/>
    <s v="I"/>
    <s v="FI2526009689"/>
    <d v="2026-03-26T00:00:00"/>
    <s v="INR"/>
    <x v="40"/>
    <d v="2026-07-24T00:00:00"/>
    <d v="2026-04-17T00:00:00"/>
    <d v="2026-08-13T00:00:00"/>
    <m/>
    <d v="2026-03-26T00:00:00"/>
    <m/>
    <m/>
    <m/>
    <n v="140228.60399999999"/>
    <n v="7.6999999999999999E-2"/>
    <n v="118"/>
    <n v="3491"/>
    <n v="136737.60399999999"/>
    <m/>
    <m/>
    <m/>
    <m/>
    <m/>
    <m/>
    <n v="83174190.439999998"/>
  </r>
  <r>
    <n v="0"/>
    <n v="104"/>
    <s v="FABIND9INRDZI"/>
    <s v="SIEMENSLTD"/>
    <s v="I"/>
    <s v="FI2526009710"/>
    <d v="2026-03-30T00:00:00"/>
    <s v="INR"/>
    <x v="41"/>
    <d v="2026-07-28T00:00:00"/>
    <d v="2026-04-17T00:00:00"/>
    <d v="2026-08-17T00:00:00"/>
    <m/>
    <d v="2026-03-30T00:00:00"/>
    <m/>
    <m/>
    <m/>
    <n v="1463106.78"/>
    <n v="7.6999999999999999E-2"/>
    <n v="122"/>
    <n v="37656"/>
    <n v="1425450.78"/>
    <m/>
    <m/>
    <m/>
    <m/>
    <m/>
    <m/>
    <n v="81704325.799999997"/>
  </r>
  <r>
    <n v="0"/>
    <n v="105"/>
    <s v="FABIND9INRDZI"/>
    <s v="SIEMENSLTD"/>
    <s v="I"/>
    <s v="FI2526009711"/>
    <d v="2026-03-30T00:00:00"/>
    <s v="INR"/>
    <x v="42"/>
    <d v="2026-07-28T00:00:00"/>
    <d v="2026-04-17T00:00:00"/>
    <d v="2026-08-17T00:00:00"/>
    <m/>
    <d v="2026-03-30T00:00:00"/>
    <m/>
    <m/>
    <m/>
    <n v="1464331.2660000001"/>
    <n v="7.6999999999999999E-2"/>
    <n v="122"/>
    <n v="37687"/>
    <n v="1426644.2660000001"/>
    <m/>
    <m/>
    <m/>
    <m/>
    <m/>
    <m/>
    <n v="81702965.260000005"/>
  </r>
  <r>
    <n v="1"/>
    <n v="106"/>
    <s v="FABIND9INRDZI"/>
    <s v="SIEMENSLTD"/>
    <s v="I"/>
    <s v="FI2627000103"/>
    <d v="2026-04-17T00:00:00"/>
    <s v="INR"/>
    <x v="43"/>
    <d v="2026-08-15T00:00:00"/>
    <d v="2026-04-23T00:00:00"/>
    <d v="2026-09-04T00:00:00"/>
    <n v="91749"/>
    <d v="2026-04-17T00:00:00"/>
    <m/>
    <m/>
    <s v="C1B1124001756002-Suprt Plate Bsbr 2 Bsbr"/>
    <n v="5004.1440000000002"/>
    <n v="7.6999999999999999E-2"/>
    <n v="134"/>
    <n v="141"/>
    <n v="4863.1440000000002"/>
    <m/>
    <m/>
    <m/>
    <m/>
    <m/>
    <m/>
    <n v="83324439.840000004"/>
  </r>
  <r>
    <n v="1"/>
    <n v="107"/>
    <s v="FABIND9INRDZI"/>
    <s v="SIEMENSLTD"/>
    <s v="I"/>
    <s v="FI2627000138"/>
    <d v="2026-04-21T00:00:00"/>
    <s v="INR"/>
    <x v="44"/>
    <d v="2026-08-19T00:00:00"/>
    <d v="2026-04-23T00:00:00"/>
    <d v="2026-09-08T00:00:00"/>
    <s v="NSK/7547"/>
    <d v="2026-04-21T00:00:00"/>
    <m/>
    <m/>
    <s v="PTD5903864004-Struct ISA 65X65X6"/>
    <n v="321416.424"/>
    <n v="7.6999999999999999E-2"/>
    <n v="138"/>
    <n v="9357"/>
    <n v="312059.424"/>
    <m/>
    <m/>
    <m/>
    <m/>
    <m/>
    <m/>
    <n v="82972870.640000001"/>
  </r>
  <r>
    <n v="1"/>
    <n v="108"/>
    <s v="FABIND9INRDZI"/>
    <s v="SIEMENSLTD"/>
    <s v="I"/>
    <s v="FI2627000141"/>
    <d v="2026-04-21T00:00:00"/>
    <s v="INR"/>
    <x v="45"/>
    <d v="2026-08-19T00:00:00"/>
    <d v="2026-04-23T00:00:00"/>
    <d v="2026-09-08T00:00:00"/>
    <s v="NSK/7546"/>
    <d v="2026-04-21T00:00:00"/>
    <m/>
    <m/>
    <s v="PTD5903894001-Struct ISA 7575X8-3230L"/>
    <n v="376320.76199999999"/>
    <n v="7.6999999999999999E-2"/>
    <n v="138"/>
    <n v="10956"/>
    <n v="365364.76199999999"/>
    <m/>
    <m/>
    <m/>
    <m/>
    <m/>
    <m/>
    <n v="82911865.819999993"/>
  </r>
  <r>
    <n v="1"/>
    <n v="109"/>
    <s v="FABIND9INRDZI"/>
    <s v="SIEMENSLTD"/>
    <s v="I"/>
    <s v="FI2627000145"/>
    <d v="2026-04-21T00:00:00"/>
    <s v="INR"/>
    <x v="46"/>
    <d v="2026-08-19T00:00:00"/>
    <d v="2026-04-23T00:00:00"/>
    <d v="2026-09-08T00:00:00"/>
    <s v="NSK/7545"/>
    <d v="2026-04-21T00:00:00"/>
    <m/>
    <m/>
    <s v="PTD5903754003-FB M39 X1080"/>
    <n v="431225.10000000003"/>
    <n v="7.6999999999999999E-2"/>
    <n v="138"/>
    <n v="12554"/>
    <n v="418671.10000000003"/>
    <m/>
    <m/>
    <m/>
    <m/>
    <m/>
    <m/>
    <n v="82850861"/>
  </r>
  <r>
    <n v="1"/>
    <n v="110"/>
    <s v="FABIND9INRDZI"/>
    <s v="SIEMENSLTD"/>
    <s v="I"/>
    <s v="FI2627000147"/>
    <d v="2026-04-21T00:00:00"/>
    <s v="INR"/>
    <x v="47"/>
    <d v="2026-08-19T00:00:00"/>
    <d v="2026-04-23T00:00:00"/>
    <d v="2026-09-08T00:00:00"/>
    <s v="NSK/7548"/>
    <d v="2026-04-21T00:00:00"/>
    <m/>
    <m/>
    <s v="PTD5903754002 FB M36X1080 Non-PG 420 KV"/>
    <n v="623579.85"/>
    <n v="7.6999999999999999E-2"/>
    <n v="138"/>
    <n v="18154"/>
    <n v="605425.85"/>
    <m/>
    <m/>
    <m/>
    <m/>
    <m/>
    <m/>
    <n v="82637133.5"/>
  </r>
  <r>
    <n v="2"/>
    <n v="111"/>
    <s v="FABIND9INRDZI"/>
    <s v="SIEMENSLTD"/>
    <s v="I"/>
    <s v="FI2627000162"/>
    <d v="2026-04-22T00:00:00"/>
    <s v="INR"/>
    <x v="40"/>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s v="SIEMENSLTD"/>
    <s v="I"/>
    <s v="FI2627000163"/>
    <d v="2026-04-22T00:00:00"/>
    <s v="INR"/>
    <x v="48"/>
    <d v="2026-08-20T00:00:00"/>
    <d v="2026-04-23T00:00:00"/>
    <d v="2026-09-09T00:00:00"/>
    <s v="NSK/7582"/>
    <d v="2026-04-22T00:00:00"/>
    <m/>
    <m/>
    <s v="PTD5903542001-Platform wt Ladder 1450 Ht"/>
    <n v="207325.764"/>
    <n v="7.6999999999999999E-2"/>
    <n v="139"/>
    <n v="6079"/>
    <n v="201246.764"/>
    <m/>
    <m/>
    <m/>
    <m/>
    <m/>
    <m/>
    <n v="83099638.040000007"/>
  </r>
  <r>
    <n v="3"/>
    <n v="113"/>
    <s v="FABIND9INRDZI"/>
    <s v="SIEMENSLTD"/>
    <s v="I"/>
    <s v="FI2627000166"/>
    <d v="2026-04-23T00:00:00"/>
    <s v="INR"/>
    <x v="49"/>
    <d v="2026-08-21T00:00:00"/>
    <d v="2026-04-23T00:00:00"/>
    <d v="2026-09-10T00:00:00"/>
    <s v="NSK/7583"/>
    <d v="2026-04-23T00:00:00"/>
    <m/>
    <m/>
    <s v="PTD5903542001-Platform wt Ladder 1450 Ht"/>
    <n v="116857.17"/>
    <n v="7.6999999999999999E-2"/>
    <n v="140"/>
    <n v="3451"/>
    <n v="113406.17"/>
    <m/>
    <m/>
    <m/>
    <m/>
    <m/>
    <m/>
    <n v="83200158.700000003"/>
  </r>
  <r>
    <n v="3"/>
    <n v="114"/>
    <s v="FABIND9INRDZI"/>
    <s v="SIEMENSLTD"/>
    <s v="I"/>
    <s v="FI2627000174"/>
    <d v="2026-04-23T00:00:00"/>
    <s v="INR"/>
    <x v="50"/>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Invoice Disc Tranch"/>
    <s v="No."/>
    <s v="Account Code"/>
    <s v="Debtor Code"/>
    <s v="Instrument Type"/>
    <s v="Instrument Number"/>
    <s v="Instrument Date"/>
    <s v="Instrument Currency"/>
    <x v="0"/>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s v="INDUSTOWER"/>
    <s v="I"/>
    <s v="FI2627000000"/>
    <d v="2026-04-02T00:00:00"/>
    <s v="INR"/>
    <x v="1"/>
    <d v="2026-05-12T00:00:00"/>
    <d v="2026-04-17T00:00:00"/>
    <d v="2026-06-01T00:00:00"/>
    <n v="10001"/>
    <d v="2026-04-02T00:00:00"/>
    <m/>
    <m/>
    <s v="NBT 40Mtr Tower"/>
    <n v="505670.23799999995"/>
    <n v="7.6999999999999999E-2"/>
    <n v="45"/>
    <n v="4800"/>
    <n v="500870.23799999995"/>
    <m/>
    <m/>
    <m/>
    <m/>
    <n v="46174"/>
    <n v="4925227"/>
    <n v="274438144.18000001"/>
  </r>
  <r>
    <n v="1"/>
    <n v="2"/>
    <s v="FABIND9INRDZI"/>
    <s v="INDUSTOWER"/>
    <s v="I"/>
    <s v="FI2627000001"/>
    <d v="2026-04-02T00:00:00"/>
    <s v="INR"/>
    <x v="1"/>
    <d v="2026-05-12T00:00:00"/>
    <d v="2026-04-17T00:00:00"/>
    <d v="2026-06-01T00:00:00"/>
    <n v="10003"/>
    <d v="2026-04-02T00:00:00"/>
    <m/>
    <m/>
    <s v="NBT 40Mtr Tower"/>
    <n v="505670.23799999995"/>
    <n v="7.6999999999999999E-2"/>
    <n v="45"/>
    <n v="4800"/>
    <n v="500870.23799999995"/>
    <m/>
    <m/>
    <m/>
    <m/>
    <m/>
    <m/>
    <n v="274438144.18000001"/>
  </r>
  <r>
    <n v="1"/>
    <n v="3"/>
    <s v="FABIND9INRDZI"/>
    <s v="INDUSTOWER"/>
    <s v="I"/>
    <s v="FI2627000002"/>
    <d v="2026-04-02T00:00:00"/>
    <s v="INR"/>
    <x v="1"/>
    <d v="2026-05-12T00:00:00"/>
    <d v="2026-04-17T00:00:00"/>
    <d v="2026-06-01T00:00:00"/>
    <n v="10002"/>
    <d v="2026-04-02T00:00:00"/>
    <m/>
    <m/>
    <s v="NBT 40Mtr Tower"/>
    <n v="505670.23799999995"/>
    <n v="7.6999999999999999E-2"/>
    <n v="45"/>
    <n v="4800"/>
    <n v="500870.23799999995"/>
    <m/>
    <m/>
    <m/>
    <m/>
    <m/>
    <m/>
    <n v="274438144.18000001"/>
  </r>
  <r>
    <n v="1"/>
    <n v="4"/>
    <s v="FABIND9INRDZI"/>
    <s v="INDUSTOWER"/>
    <s v="I"/>
    <s v="FI2627000003"/>
    <d v="2026-04-02T00:00:00"/>
    <s v="INR"/>
    <x v="1"/>
    <d v="2026-05-12T00:00:00"/>
    <d v="2026-04-17T00:00:00"/>
    <d v="2026-06-01T00:00:00"/>
    <n v="10004"/>
    <d v="2026-04-02T00:00:00"/>
    <m/>
    <m/>
    <s v="NBT 40Mtr Tower"/>
    <n v="505670.23799999995"/>
    <n v="7.6999999999999999E-2"/>
    <n v="45"/>
    <n v="4800"/>
    <n v="500870.23799999995"/>
    <m/>
    <m/>
    <m/>
    <m/>
    <m/>
    <m/>
    <n v="274438144.18000001"/>
  </r>
  <r>
    <n v="1"/>
    <n v="5"/>
    <s v="FABIND9INRDZI"/>
    <s v="INDUSTOWER"/>
    <s v="I"/>
    <s v="FI2627000005"/>
    <d v="2026-04-03T00:00:00"/>
    <s v="INR"/>
    <x v="1"/>
    <d v="2026-05-13T00:00:00"/>
    <d v="2026-04-17T00:00:00"/>
    <d v="2026-06-02T00:00:00"/>
    <n v="10005"/>
    <d v="2026-04-03T00:00:00"/>
    <m/>
    <m/>
    <s v="NBT 40Mtr Tower"/>
    <n v="505670.23799999995"/>
    <n v="7.6999999999999999E-2"/>
    <n v="46"/>
    <n v="4907"/>
    <n v="500763.23799999995"/>
    <m/>
    <m/>
    <m/>
    <m/>
    <m/>
    <m/>
    <n v="274438144.18000001"/>
  </r>
  <r>
    <n v="1"/>
    <n v="6"/>
    <s v="FABIND9INRDZI"/>
    <s v="INDUSTOWER"/>
    <s v="I"/>
    <s v="FI2627000006"/>
    <d v="2026-04-03T00:00:00"/>
    <s v="INR"/>
    <x v="1"/>
    <d v="2026-05-13T00:00:00"/>
    <d v="2026-04-17T00:00:00"/>
    <d v="2026-06-02T00:00:00"/>
    <n v="10006"/>
    <d v="2026-04-03T00:00:00"/>
    <m/>
    <m/>
    <s v="NBT 40Mtr Tower"/>
    <n v="505670.23799999995"/>
    <n v="7.6999999999999999E-2"/>
    <n v="46"/>
    <n v="4907"/>
    <n v="500763.23799999995"/>
    <m/>
    <m/>
    <m/>
    <m/>
    <m/>
    <m/>
    <n v="274438144.18000001"/>
  </r>
  <r>
    <n v="1"/>
    <n v="7"/>
    <s v="FABIND9INRDZI"/>
    <s v="INDUSTOWER"/>
    <s v="I"/>
    <s v="FI2627000016"/>
    <d v="2026-04-03T00:00:00"/>
    <s v="INR"/>
    <x v="2"/>
    <d v="2026-05-13T00:00:00"/>
    <d v="2026-04-17T00:00:00"/>
    <d v="2026-06-02T00:00:00"/>
    <n v="10007"/>
    <d v="2026-04-03T00:00:00"/>
    <m/>
    <m/>
    <s v="TOWER GBT 3Legged VM 30M 170KMPH"/>
    <n v="398336.022"/>
    <n v="7.6999999999999999E-2"/>
    <n v="46"/>
    <n v="3865"/>
    <n v="394471.022"/>
    <m/>
    <m/>
    <m/>
    <m/>
    <m/>
    <m/>
    <n v="274557404.42000002"/>
  </r>
  <r>
    <n v="1"/>
    <n v="8"/>
    <s v="FABIND9INRDZI"/>
    <s v="INDUSTOWER"/>
    <s v="I"/>
    <s v="FI2627000027"/>
    <d v="2026-04-05T00:00:00"/>
    <s v="INR"/>
    <x v="3"/>
    <d v="2026-05-15T00:00:00"/>
    <d v="2026-04-17T00:00:00"/>
    <d v="2026-06-04T00:00:00"/>
    <n v="78287"/>
    <d v="2026-04-05T00:00:00"/>
    <m/>
    <m/>
    <s v="BIL - Tower GBT 40M 200 KMPH"/>
    <n v="677083.41"/>
    <n v="7.6999999999999999E-2"/>
    <n v="48"/>
    <n v="6856"/>
    <n v="670227.41"/>
    <m/>
    <m/>
    <m/>
    <m/>
    <m/>
    <m/>
    <n v="274247685.10000002"/>
  </r>
  <r>
    <n v="1"/>
    <n v="9"/>
    <s v="FABIND9INRDZI"/>
    <s v="INDUSTOWER"/>
    <s v="I"/>
    <s v="FI2627000030"/>
    <d v="2026-04-05T00:00:00"/>
    <s v="INR"/>
    <x v="4"/>
    <d v="2026-05-15T00:00:00"/>
    <d v="2026-04-17T00:00:00"/>
    <d v="2026-06-04T00:00:00"/>
    <n v="10010"/>
    <d v="2026-04-05T00:00:00"/>
    <m/>
    <m/>
    <s v="INDUS SOLAR STRUCTURE(2PX5-30/20 DEGREE)"/>
    <n v="620865.8280000001"/>
    <n v="7.6999999999999999E-2"/>
    <n v="48"/>
    <n v="6287"/>
    <n v="614578.8280000001"/>
    <m/>
    <m/>
    <m/>
    <m/>
    <m/>
    <m/>
    <n v="274310149.07999998"/>
  </r>
  <r>
    <n v="1"/>
    <n v="10"/>
    <s v="FABIND9INRDZI"/>
    <s v="INDUSTOWER"/>
    <s v="I"/>
    <s v="FI2627000031"/>
    <d v="2026-04-05T00:00:00"/>
    <s v="INR"/>
    <x v="4"/>
    <d v="2026-05-15T00:00:00"/>
    <d v="2026-04-17T00:00:00"/>
    <d v="2026-06-04T00:00:00"/>
    <n v="10011"/>
    <d v="2026-04-05T00:00:00"/>
    <m/>
    <m/>
    <s v="INDUS SOLAR STRUCTURE(2PX5-30/20 DEGREE)"/>
    <n v="620865.8280000001"/>
    <n v="7.6999999999999999E-2"/>
    <n v="48"/>
    <n v="6287"/>
    <n v="614578.8280000001"/>
    <m/>
    <m/>
    <m/>
    <m/>
    <m/>
    <m/>
    <n v="274310149.07999998"/>
  </r>
  <r>
    <n v="1"/>
    <n v="11"/>
    <s v="FABIND9INRDZI"/>
    <s v="INDUSTOWER"/>
    <s v="I"/>
    <s v="FI2627000032"/>
    <d v="2026-04-05T00:00:00"/>
    <s v="INR"/>
    <x v="5"/>
    <d v="2026-05-15T00:00:00"/>
    <d v="2026-04-17T00:00:00"/>
    <d v="2026-06-04T00:00:00"/>
    <n v="10014"/>
    <d v="2026-04-05T00:00:00"/>
    <m/>
    <m/>
    <s v="CIP RITA 15MTR"/>
    <n v="208895.4"/>
    <n v="7.6999999999999999E-2"/>
    <n v="48"/>
    <n v="2115"/>
    <n v="206780.4"/>
    <m/>
    <m/>
    <m/>
    <m/>
    <m/>
    <m/>
    <n v="274767894"/>
  </r>
  <r>
    <n v="2"/>
    <n v="12"/>
    <s v="FABIND9INRDZI"/>
    <s v="INDUSTOWER"/>
    <s v="I"/>
    <s v="FI2627000043"/>
    <d v="2026-04-06T00:00:00"/>
    <s v="INR"/>
    <x v="6"/>
    <d v="2026-05-16T00:00:00"/>
    <d v="2026-04-17T00:00:00"/>
    <d v="2026-06-05T00:00:00"/>
    <n v="10016"/>
    <d v="2026-04-06T00:00:00"/>
    <m/>
    <m/>
    <s v="TowerGBT-3 Leg Tubular VT30M 200 KMPH"/>
    <n v="582627.00599999994"/>
    <n v="7.6999999999999999E-2"/>
    <n v="49"/>
    <n v="6023"/>
    <n v="576604.00599999994"/>
    <m/>
    <m/>
    <m/>
    <m/>
    <m/>
    <m/>
    <n v="274352636.66000003"/>
  </r>
  <r>
    <n v="2"/>
    <n v="13"/>
    <s v="FABIND9INRDZI"/>
    <s v="INDUSTOWER"/>
    <s v="I"/>
    <s v="FI2627000044"/>
    <d v="2026-04-06T00:00:00"/>
    <s v="INR"/>
    <x v="6"/>
    <d v="2026-05-16T00:00:00"/>
    <d v="2026-04-17T00:00:00"/>
    <d v="2026-06-05T00:00:00"/>
    <n v="10017"/>
    <d v="2026-04-06T00:00:00"/>
    <m/>
    <m/>
    <s v="TowerGBT-3 Leg Tubular VT30M 200 KMPH"/>
    <n v="582627.00599999994"/>
    <n v="7.6999999999999999E-2"/>
    <n v="49"/>
    <n v="6023"/>
    <n v="576604.00599999994"/>
    <m/>
    <m/>
    <m/>
    <m/>
    <m/>
    <m/>
    <n v="274352636.66000003"/>
  </r>
  <r>
    <n v="2"/>
    <n v="14"/>
    <s v="FABIND9INRDZI"/>
    <s v="INDUSTOWER"/>
    <s v="I"/>
    <s v="FI2627000045"/>
    <d v="2026-04-06T00:00:00"/>
    <s v="INR"/>
    <x v="6"/>
    <d v="2026-05-16T00:00:00"/>
    <d v="2026-04-17T00:00:00"/>
    <d v="2026-06-05T00:00:00"/>
    <n v="10018"/>
    <d v="2026-04-06T00:00:00"/>
    <m/>
    <m/>
    <s v="TowerGBT-3 Leg Tubular VT30M 200 KMPH"/>
    <n v="582627.00599999994"/>
    <n v="7.6999999999999999E-2"/>
    <n v="49"/>
    <n v="6023"/>
    <n v="576604.00599999994"/>
    <m/>
    <m/>
    <m/>
    <m/>
    <m/>
    <m/>
    <n v="274352636.66000003"/>
  </r>
  <r>
    <n v="2"/>
    <n v="15"/>
    <s v="FABIND9INRDZI"/>
    <s v="INDUSTOWER"/>
    <s v="I"/>
    <s v="FI2627000047"/>
    <d v="2026-04-06T00:00:00"/>
    <s v="INR"/>
    <x v="6"/>
    <d v="2026-05-16T00:00:00"/>
    <d v="2026-04-17T00:00:00"/>
    <d v="2026-06-05T00:00:00"/>
    <n v="10019"/>
    <d v="2026-04-06T00:00:00"/>
    <m/>
    <m/>
    <s v="TowerGBT-3 Leg Tubular VT30M 200 KMPH"/>
    <n v="582627.00599999994"/>
    <n v="7.6999999999999999E-2"/>
    <n v="49"/>
    <n v="6023"/>
    <n v="576604.00599999994"/>
    <m/>
    <m/>
    <m/>
    <m/>
    <m/>
    <m/>
    <n v="274352636.66000003"/>
  </r>
  <r>
    <n v="3"/>
    <n v="16"/>
    <s v="FABIND9INRDZI"/>
    <s v="INDUSTOWER"/>
    <s v="I"/>
    <s v="FI2627000052"/>
    <d v="2026-04-08T00:00:00"/>
    <s v="INR"/>
    <x v="6"/>
    <d v="2026-05-18T00:00:00"/>
    <d v="2026-04-17T00:00:00"/>
    <d v="2026-06-07T00:00:00"/>
    <n v="10020"/>
    <d v="2026-04-08T00:00:00"/>
    <m/>
    <m/>
    <s v="TowerGBT-3 Leg Tubular VT30M 200 KMPH"/>
    <n v="582627.00599999994"/>
    <n v="7.6999999999999999E-2"/>
    <n v="51"/>
    <n v="6268"/>
    <n v="576359.00599999994"/>
    <m/>
    <m/>
    <m/>
    <m/>
    <m/>
    <m/>
    <n v="274352636.66000003"/>
  </r>
  <r>
    <n v="3"/>
    <n v="17"/>
    <s v="FABIND9INRDZI"/>
    <s v="INDUSTOWER"/>
    <s v="I"/>
    <s v="FI2627000063"/>
    <d v="2026-04-10T00:00:00"/>
    <s v="INR"/>
    <x v="7"/>
    <d v="2026-05-20T00:00:00"/>
    <d v="2026-04-17T00:00:00"/>
    <d v="2026-06-09T00:00:00"/>
    <n v="778"/>
    <d v="2026-04-10T00:00:00"/>
    <m/>
    <m/>
    <s v="BIL - Tower GBT 40M 200 KMPH"/>
    <n v="697498.23600000003"/>
    <n v="7.6999999999999999E-2"/>
    <n v="53"/>
    <n v="7799"/>
    <n v="689699.23600000003"/>
    <m/>
    <m/>
    <m/>
    <m/>
    <m/>
    <m/>
    <n v="274225001.95999998"/>
  </r>
  <r>
    <n v="3"/>
    <n v="18"/>
    <s v="FABIND9INRDZI"/>
    <s v="INDUSTOWER"/>
    <s v="I"/>
    <s v="FI2627000064"/>
    <d v="2026-04-10T00:00:00"/>
    <s v="INR"/>
    <x v="7"/>
    <d v="2026-05-20T00:00:00"/>
    <d v="2026-04-17T00:00:00"/>
    <d v="2026-06-09T00:00:00"/>
    <n v="10024"/>
    <d v="2026-04-10T00:00:00"/>
    <m/>
    <m/>
    <s v="BIL - Tower GBT 40M 200 KMPH"/>
    <n v="697498.23600000003"/>
    <n v="7.6999999999999999E-2"/>
    <n v="53"/>
    <n v="7799"/>
    <n v="689699.23600000003"/>
    <m/>
    <m/>
    <m/>
    <m/>
    <m/>
    <m/>
    <n v="274225001.95999998"/>
  </r>
  <r>
    <n v="3"/>
    <n v="19"/>
    <s v="FABIND9INRDZI"/>
    <s v="INDUSTOWER"/>
    <s v="I"/>
    <s v="FI2627000065"/>
    <d v="2026-04-10T00:00:00"/>
    <s v="INR"/>
    <x v="7"/>
    <d v="2026-05-20T00:00:00"/>
    <d v="2026-04-17T00:00:00"/>
    <d v="2026-06-09T00:00:00"/>
    <n v="779"/>
    <d v="2026-04-10T00:00:00"/>
    <m/>
    <m/>
    <s v="BIL - Tower GBT 40M 200 KMPH"/>
    <n v="697498.23600000003"/>
    <n v="7.6999999999999999E-2"/>
    <n v="53"/>
    <n v="7799"/>
    <n v="689699.23600000003"/>
    <m/>
    <m/>
    <m/>
    <m/>
    <m/>
    <m/>
    <n v="274225001.95999998"/>
  </r>
  <r>
    <n v="3"/>
    <n v="20"/>
    <s v="FABIND9INRDZI"/>
    <s v="INDUSTOWER"/>
    <s v="I"/>
    <s v="FI2627000066"/>
    <d v="2026-04-10T00:00:00"/>
    <s v="INR"/>
    <x v="7"/>
    <d v="2026-05-20T00:00:00"/>
    <d v="2026-04-17T00:00:00"/>
    <d v="2026-06-09T00:00:00"/>
    <n v="10025"/>
    <d v="2026-04-10T00:00:00"/>
    <m/>
    <m/>
    <s v="BIL - Tower GBT 40M 200 KMPH"/>
    <n v="697498.23600000003"/>
    <n v="7.6999999999999999E-2"/>
    <n v="53"/>
    <n v="7799"/>
    <n v="689699.23600000003"/>
    <m/>
    <m/>
    <m/>
    <m/>
    <m/>
    <m/>
    <n v="274225001.95999998"/>
  </r>
  <r>
    <n v="3"/>
    <n v="21"/>
    <s v="FABIND9INRDZI"/>
    <s v="INDUSTOWER"/>
    <s v="I"/>
    <s v="FI2627000067"/>
    <d v="2026-04-10T00:00:00"/>
    <s v="INR"/>
    <x v="7"/>
    <d v="2026-05-20T00:00:00"/>
    <d v="2026-04-17T00:00:00"/>
    <d v="2026-06-09T00:00:00"/>
    <n v="10026"/>
    <d v="2026-04-10T00:00:00"/>
    <m/>
    <m/>
    <s v="BIL - Tower GBT 40M 200 KMPH"/>
    <n v="697498.23600000003"/>
    <n v="7.6999999999999999E-2"/>
    <n v="53"/>
    <n v="7799"/>
    <n v="689699.23600000003"/>
    <m/>
    <m/>
    <m/>
    <m/>
    <m/>
    <m/>
    <n v="274225001.95999998"/>
  </r>
  <r>
    <n v="3"/>
    <n v="22"/>
    <s v="FABIND9INRDZI"/>
    <s v="INDUSTOWER"/>
    <s v="I"/>
    <s v="FI2627000069"/>
    <d v="2026-04-12T00:00:00"/>
    <s v="INR"/>
    <x v="6"/>
    <d v="2026-05-22T00:00:00"/>
    <d v="2026-04-17T00:00:00"/>
    <d v="2026-06-11T00:00:00"/>
    <n v="780"/>
    <d v="2026-04-12T00:00:00"/>
    <m/>
    <m/>
    <s v="TowerGBT-3 Leg Tubular VT30M 200 KMPH"/>
    <n v="582627.00599999994"/>
    <n v="7.6999999999999999E-2"/>
    <n v="55"/>
    <n v="6760"/>
    <n v="575867.00599999994"/>
    <m/>
    <m/>
    <m/>
    <m/>
    <m/>
    <m/>
    <n v="274352636.66000003"/>
  </r>
  <r>
    <n v="3"/>
    <n v="23"/>
    <s v="FABIND9INRDZI"/>
    <s v="INDUSTOWER"/>
    <s v="I"/>
    <s v="FI2627000070"/>
    <d v="2026-04-12T00:00:00"/>
    <s v="INR"/>
    <x v="8"/>
    <d v="2026-05-22T00:00:00"/>
    <d v="2026-04-17T00:00:00"/>
    <d v="2026-06-11T00:00:00"/>
    <n v="781"/>
    <d v="2026-04-12T00:00:00"/>
    <m/>
    <m/>
    <s v="Cast In part GBT-3L TBLR VT30M 200KMPH"/>
    <n v="132467.508"/>
    <n v="7.6999999999999999E-2"/>
    <n v="55"/>
    <n v="1537"/>
    <n v="130930.508"/>
    <m/>
    <m/>
    <m/>
    <m/>
    <m/>
    <m/>
    <n v="274852813.88"/>
  </r>
  <r>
    <n v="3"/>
    <n v="24"/>
    <s v="FABIND9INRDZI"/>
    <s v="INDUSTOWER"/>
    <s v="I"/>
    <s v="FI2627000071"/>
    <d v="2026-04-12T00:00:00"/>
    <s v="INR"/>
    <x v="7"/>
    <d v="2026-05-22T00:00:00"/>
    <d v="2026-04-17T00:00:00"/>
    <d v="2026-06-11T00:00:00"/>
    <n v="10030"/>
    <d v="2026-04-12T00:00:00"/>
    <m/>
    <m/>
    <s v="BIL - Tower GBT 40M 200 KMPH"/>
    <n v="697498.23600000003"/>
    <n v="7.6999999999999999E-2"/>
    <n v="55"/>
    <n v="8093"/>
    <n v="689405.23600000003"/>
    <m/>
    <m/>
    <m/>
    <m/>
    <m/>
    <m/>
    <n v="274225001.95999998"/>
  </r>
  <r>
    <n v="3"/>
    <n v="25"/>
    <s v="FABIND9INRDZI"/>
    <s v="INDUSTOWER"/>
    <s v="I"/>
    <s v="FI2627000072"/>
    <d v="2026-04-12T00:00:00"/>
    <s v="INR"/>
    <x v="7"/>
    <d v="2026-05-22T00:00:00"/>
    <d v="2026-04-17T00:00:00"/>
    <d v="2026-06-11T00:00:00"/>
    <n v="10031"/>
    <d v="2026-04-12T00:00:00"/>
    <m/>
    <m/>
    <s v="BIL - Tower GBT 40M 200 KMPH"/>
    <n v="697498.23600000003"/>
    <n v="7.6999999999999999E-2"/>
    <n v="55"/>
    <n v="8093"/>
    <n v="689405.23600000003"/>
    <m/>
    <m/>
    <m/>
    <m/>
    <m/>
    <m/>
    <n v="274225001.95999998"/>
  </r>
  <r>
    <n v="3"/>
    <n v="26"/>
    <s v="FABIND9INRDZI"/>
    <s v="INDUSTOWER"/>
    <s v="I"/>
    <s v="FI2627000077"/>
    <d v="2026-04-13T00:00:00"/>
    <s v="INR"/>
    <x v="7"/>
    <d v="2026-05-23T00:00:00"/>
    <d v="2026-04-17T00:00:00"/>
    <d v="2026-06-12T00:00:00"/>
    <n v="78501"/>
    <d v="2026-04-13T00:00:00"/>
    <m/>
    <m/>
    <s v="BIL - Tower GBT 40M 200 KMPH"/>
    <n v="697498.23600000003"/>
    <n v="7.6999999999999999E-2"/>
    <n v="56"/>
    <n v="8240"/>
    <n v="689258.23600000003"/>
    <m/>
    <m/>
    <m/>
    <m/>
    <m/>
    <m/>
    <n v="274225001.95999998"/>
  </r>
  <r>
    <n v="3"/>
    <n v="27"/>
    <s v="FABIND9INRDZI"/>
    <s v="INDUSTOWER"/>
    <s v="I"/>
    <s v="FI2627000078"/>
    <d v="2026-04-13T00:00:00"/>
    <s v="INR"/>
    <x v="7"/>
    <d v="2026-05-23T00:00:00"/>
    <d v="2026-04-17T00:00:00"/>
    <d v="2026-06-12T00:00:00"/>
    <n v="78502"/>
    <d v="2026-04-13T00:00:00"/>
    <m/>
    <m/>
    <s v="BIL - Tower GBT 40M 200 KMPH"/>
    <n v="697498.23600000003"/>
    <n v="7.6999999999999999E-2"/>
    <n v="56"/>
    <n v="8240"/>
    <n v="689258.23600000003"/>
    <m/>
    <m/>
    <m/>
    <m/>
    <m/>
    <m/>
    <n v="274225001.95999998"/>
  </r>
  <r>
    <n v="3"/>
    <n v="28"/>
    <s v="FABIND9INRDZI"/>
    <s v="INDUSTOWER"/>
    <s v="I"/>
    <s v="FI2627000079"/>
    <d v="2026-04-13T00:00:00"/>
    <s v="INR"/>
    <x v="7"/>
    <d v="2026-05-23T00:00:00"/>
    <d v="2026-04-17T00:00:00"/>
    <d v="2026-06-12T00:00:00"/>
    <n v="78503"/>
    <d v="2026-04-13T00:00:00"/>
    <m/>
    <m/>
    <s v="BIL - Tower GBT 40M 200 KMPH"/>
    <n v="697498.23600000003"/>
    <n v="7.6999999999999999E-2"/>
    <n v="56"/>
    <n v="8240"/>
    <n v="689258.23600000003"/>
    <m/>
    <m/>
    <m/>
    <m/>
    <m/>
    <m/>
    <n v="274225001.95999998"/>
  </r>
  <r>
    <n v="4"/>
    <n v="29"/>
    <s v="FABIND9INRDZI"/>
    <s v="INDUSTOWER"/>
    <s v="I"/>
    <s v="FI2627000084"/>
    <d v="2026-04-15T00:00:00"/>
    <s v="INR"/>
    <x v="9"/>
    <d v="2026-05-25T00:00:00"/>
    <d v="2026-04-20T00:00:00"/>
    <d v="2026-06-14T00:00:00"/>
    <n v="78510"/>
    <d v="2026-04-15T00:00:00"/>
    <m/>
    <m/>
    <s v="TowerGBT-3 Leg Tubular VT30M 200 KMPH"/>
    <n v="595705.53600000008"/>
    <n v="7.6999999999999999E-2"/>
    <n v="55"/>
    <n v="6912"/>
    <n v="588793.53600000008"/>
    <m/>
    <m/>
    <m/>
    <m/>
    <m/>
    <m/>
    <n v="274338104.95999998"/>
  </r>
  <r>
    <n v="4"/>
    <n v="30"/>
    <s v="FABIND9INRDZI"/>
    <s v="INDUSTOWER"/>
    <s v="I"/>
    <s v="FI2627000085"/>
    <d v="2026-04-15T00:00:00"/>
    <s v="INR"/>
    <x v="9"/>
    <d v="2026-05-25T00:00:00"/>
    <d v="2026-04-20T00:00:00"/>
    <d v="2026-06-14T00:00:00"/>
    <n v="78511"/>
    <d v="2026-04-15T00:00:00"/>
    <m/>
    <m/>
    <s v="TowerGBT-3 Leg Tubular VT30M 200 KMPH"/>
    <n v="595705.53600000008"/>
    <n v="7.6999999999999999E-2"/>
    <n v="55"/>
    <n v="6912"/>
    <n v="588793.53600000008"/>
    <m/>
    <m/>
    <m/>
    <m/>
    <m/>
    <m/>
    <n v="274338104.95999998"/>
  </r>
  <r>
    <n v="4"/>
    <n v="31"/>
    <s v="FABIND9INRDZI"/>
    <s v="INDUSTOWER"/>
    <s v="I"/>
    <s v="FI2627000086"/>
    <d v="2026-04-15T00:00:00"/>
    <s v="INR"/>
    <x v="9"/>
    <d v="2026-05-25T00:00:00"/>
    <d v="2026-04-20T00:00:00"/>
    <d v="2026-06-14T00:00:00"/>
    <n v="21123"/>
    <d v="2026-04-15T00:00:00"/>
    <m/>
    <m/>
    <s v="TowerGBT-3 Leg Tubular VT30M 200 KMPH"/>
    <n v="595705.53600000008"/>
    <n v="7.6999999999999999E-2"/>
    <n v="55"/>
    <n v="6912"/>
    <n v="588793.53600000008"/>
    <m/>
    <m/>
    <m/>
    <m/>
    <m/>
    <m/>
    <n v="274338104.95999998"/>
  </r>
  <r>
    <n v="4"/>
    <n v="32"/>
    <s v="FABIND9INRDZI"/>
    <s v="INDUSTOWER"/>
    <s v="I"/>
    <s v="FI2627000087"/>
    <d v="2026-04-15T00:00:00"/>
    <s v="INR"/>
    <x v="9"/>
    <d v="2026-05-25T00:00:00"/>
    <d v="2026-04-20T00:00:00"/>
    <d v="2026-06-14T00:00:00"/>
    <n v="78512"/>
    <d v="2026-04-15T00:00:00"/>
    <m/>
    <m/>
    <s v="TowerGBT-3 Leg Tubular VT30M 200 KMPH"/>
    <n v="595705.53600000008"/>
    <n v="7.6999999999999999E-2"/>
    <n v="55"/>
    <n v="6912"/>
    <n v="588793.53600000008"/>
    <m/>
    <m/>
    <m/>
    <m/>
    <m/>
    <m/>
    <n v="274338104.95999998"/>
  </r>
  <r>
    <n v="4"/>
    <n v="33"/>
    <s v="FABIND9INRDZI"/>
    <s v="INDUSTOWER"/>
    <s v="I"/>
    <s v="FI2627000109"/>
    <d v="2026-04-19T00:00:00"/>
    <s v="INR"/>
    <x v="10"/>
    <d v="2026-05-29T00:00:00"/>
    <d v="2026-04-20T00:00:00"/>
    <d v="2026-06-18T00:00:00"/>
    <n v="10038"/>
    <d v="2026-04-19T00:00:00"/>
    <m/>
    <m/>
    <s v="Tower- GBT- Elite 403 STR - 3L TBLR 40M"/>
    <n v="455407.90200000006"/>
    <n v="7.6999999999999999E-2"/>
    <n v="59"/>
    <n v="5668"/>
    <n v="449739.90200000006"/>
    <m/>
    <m/>
    <m/>
    <m/>
    <m/>
    <m/>
    <n v="274493991.22000003"/>
  </r>
  <r>
    <n v="4"/>
    <n v="34"/>
    <s v="FABIND9INRDZI"/>
    <s v="INDUSTOWER"/>
    <s v="I"/>
    <s v="FI2627000110"/>
    <d v="2026-04-19T00:00:00"/>
    <s v="INR"/>
    <x v="10"/>
    <d v="2026-05-29T00:00:00"/>
    <d v="2026-04-20T00:00:00"/>
    <d v="2026-06-18T00:00:00"/>
    <n v="10039"/>
    <d v="2026-04-19T00:00:00"/>
    <m/>
    <m/>
    <s v="Tower- GBT- Elite 403 STR - 3L TBLR 40M"/>
    <n v="455407.90200000006"/>
    <n v="7.6999999999999999E-2"/>
    <n v="59"/>
    <n v="5668"/>
    <n v="449739.90200000006"/>
    <m/>
    <m/>
    <m/>
    <m/>
    <m/>
    <m/>
    <n v="274493991.22000003"/>
  </r>
  <r>
    <n v="4"/>
    <n v="35"/>
    <s v="FABIND9INRDZI"/>
    <s v="INDUSTOWER"/>
    <s v="I"/>
    <s v="FI2627000111"/>
    <d v="2026-04-19T00:00:00"/>
    <s v="INR"/>
    <x v="10"/>
    <d v="2026-05-29T00:00:00"/>
    <d v="2026-04-20T00:00:00"/>
    <d v="2026-06-18T00:00:00"/>
    <n v="10040"/>
    <d v="2026-04-19T00:00:00"/>
    <m/>
    <m/>
    <s v="Tower- GBT- Elite 403 STR - 3L TBLR 40M"/>
    <n v="455407.90200000006"/>
    <n v="7.6999999999999999E-2"/>
    <n v="59"/>
    <n v="5668"/>
    <n v="449739.90200000006"/>
    <m/>
    <m/>
    <m/>
    <m/>
    <m/>
    <m/>
    <n v="274493991.22000003"/>
  </r>
  <r>
    <n v="4"/>
    <n v="36"/>
    <s v="FABIND9INRDZI"/>
    <s v="INDUSTOWER"/>
    <s v="I"/>
    <s v="FI2627000112"/>
    <d v="2026-04-19T00:00:00"/>
    <s v="INR"/>
    <x v="10"/>
    <d v="2026-05-29T00:00:00"/>
    <d v="2026-04-20T00:00:00"/>
    <d v="2026-06-18T00:00:00"/>
    <n v="10041"/>
    <d v="2026-04-19T00:00:00"/>
    <m/>
    <m/>
    <s v="Tower- GBT- Elite 403 STR - 3L TBLR 40M"/>
    <n v="455407.90200000006"/>
    <n v="7.6999999999999999E-2"/>
    <n v="59"/>
    <n v="5668"/>
    <n v="449739.90200000006"/>
    <m/>
    <m/>
    <m/>
    <m/>
    <m/>
    <m/>
    <n v="274493991.22000003"/>
  </r>
  <r>
    <n v="5"/>
    <n v="37"/>
    <s v="FABIND9INRDZI"/>
    <s v="INDUSTOWER"/>
    <s v="I"/>
    <s v="FI2627000118"/>
    <d v="2026-04-20T00:00:00"/>
    <s v="INR"/>
    <x v="11"/>
    <d v="2026-05-30T00:00:00"/>
    <d v="2026-04-23T00:00:00"/>
    <d v="2026-06-19T00:00:00"/>
    <n v="10043"/>
    <d v="2026-04-20T00:00:00"/>
    <m/>
    <m/>
    <s v="Tower- GBT- Elite 403 STR - 3L TBLR 40M"/>
    <n v="434993.076"/>
    <n v="7.6999999999999999E-2"/>
    <n v="57"/>
    <n v="5231"/>
    <n v="429762.076"/>
    <m/>
    <m/>
    <m/>
    <m/>
    <m/>
    <m/>
    <n v="274516674.36000001"/>
  </r>
  <r>
    <n v="5"/>
    <n v="38"/>
    <s v="FABIND9INRDZI"/>
    <s v="INDUSTOWER"/>
    <s v="I"/>
    <s v="FI2627000119"/>
    <d v="2026-04-20T00:00:00"/>
    <s v="INR"/>
    <x v="11"/>
    <d v="2026-05-30T00:00:00"/>
    <d v="2026-04-23T00:00:00"/>
    <d v="2026-06-19T00:00:00"/>
    <n v="10044"/>
    <d v="2026-04-20T00:00:00"/>
    <m/>
    <m/>
    <s v="Tower- GBT- Elite 403 STR - 3L TBLR 40M"/>
    <n v="434993.076"/>
    <n v="7.6999999999999999E-2"/>
    <n v="57"/>
    <n v="5231"/>
    <n v="429762.076"/>
    <m/>
    <m/>
    <m/>
    <m/>
    <m/>
    <m/>
    <n v="274516674.36000001"/>
  </r>
  <r>
    <n v="5"/>
    <n v="39"/>
    <s v="FABIND9INRDZI"/>
    <s v="INDUSTOWER"/>
    <s v="I"/>
    <s v="FI2627000120"/>
    <d v="2026-04-20T00:00:00"/>
    <s v="INR"/>
    <x v="11"/>
    <d v="2026-05-30T00:00:00"/>
    <d v="2026-04-23T00:00:00"/>
    <d v="2026-06-19T00:00:00"/>
    <n v="10045"/>
    <d v="2026-04-20T00:00:00"/>
    <m/>
    <m/>
    <s v="Tower- GBT- Elite 403 STR - 3L TBLR 40M"/>
    <n v="434993.076"/>
    <n v="7.6999999999999999E-2"/>
    <n v="57"/>
    <n v="5231"/>
    <n v="429762.076"/>
    <m/>
    <m/>
    <m/>
    <m/>
    <m/>
    <m/>
    <n v="274516674.36000001"/>
  </r>
  <r>
    <n v="5"/>
    <n v="40"/>
    <s v="FABIND9INRDZI"/>
    <s v="INDUSTOWER"/>
    <s v="I"/>
    <s v="FI2627000121"/>
    <d v="2026-04-20T00:00:00"/>
    <s v="INR"/>
    <x v="11"/>
    <d v="2026-05-30T00:00:00"/>
    <d v="2026-04-23T00:00:00"/>
    <d v="2026-06-19T00:00:00"/>
    <n v="10046"/>
    <d v="2026-04-20T00:00:00"/>
    <m/>
    <m/>
    <s v="Tower- GBT- Elite 403 STR - 3L TBLR 40M"/>
    <n v="434993.076"/>
    <n v="7.6999999999999999E-2"/>
    <n v="57"/>
    <n v="5231"/>
    <n v="429762.076"/>
    <m/>
    <m/>
    <m/>
    <m/>
    <m/>
    <m/>
    <n v="274516674.36000001"/>
  </r>
  <r>
    <n v="5"/>
    <n v="41"/>
    <s v="FABIND9INRDZI"/>
    <s v="INDUSTOWER"/>
    <s v="I"/>
    <s v="FI2627000122"/>
    <d v="2026-04-20T00:00:00"/>
    <s v="INR"/>
    <x v="11"/>
    <d v="2026-05-30T00:00:00"/>
    <d v="2026-04-23T00:00:00"/>
    <d v="2026-06-19T00:00:00"/>
    <n v="801"/>
    <d v="2026-04-20T00:00:00"/>
    <m/>
    <m/>
    <s v="Tower- GBT- Elite 403 STR - 3L TBLR 40M"/>
    <n v="434993.076"/>
    <n v="7.6999999999999999E-2"/>
    <n v="57"/>
    <n v="5231"/>
    <n v="429762.076"/>
    <m/>
    <m/>
    <m/>
    <m/>
    <m/>
    <m/>
    <n v="274516674.36000001"/>
  </r>
  <r>
    <n v="5"/>
    <n v="42"/>
    <s v="FABIND9INRDZI"/>
    <s v="INDUSTOWER"/>
    <s v="I"/>
    <s v="FI2627000127"/>
    <d v="2026-04-20T00:00:00"/>
    <s v="INR"/>
    <x v="12"/>
    <d v="2026-05-30T00:00:00"/>
    <d v="2026-04-23T00:00:00"/>
    <d v="2026-06-19T00:00:00"/>
    <n v="78158"/>
    <d v="2026-04-20T00:00:00"/>
    <m/>
    <m/>
    <s v="CIP - GBT - Elite 403 STR - 3L 170KMPH"/>
    <n v="906231.15"/>
    <n v="7.6999999999999999E-2"/>
    <n v="57"/>
    <n v="10897"/>
    <n v="895334.15"/>
    <m/>
    <m/>
    <m/>
    <m/>
    <m/>
    <m/>
    <n v="273993076.5"/>
  </r>
  <r>
    <n v="5"/>
    <n v="43"/>
    <s v="FABIND9INRDZI"/>
    <s v="INDUSTOWER"/>
    <s v="I"/>
    <s v="FI2627000128"/>
    <d v="2026-04-20T00:00:00"/>
    <s v="INR"/>
    <x v="13"/>
    <d v="2026-05-30T00:00:00"/>
    <d v="2026-04-23T00:00:00"/>
    <d v="2026-06-19T00:00:00"/>
    <n v="10047"/>
    <d v="2026-04-20T00:00:00"/>
    <m/>
    <m/>
    <s v="12A - Tower GBT-3 Leg TBLR 40M 170 KMPH"/>
    <n v="604118.70000000007"/>
    <n v="7.6999999999999999E-2"/>
    <n v="57"/>
    <n v="7264"/>
    <n v="596854.70000000007"/>
    <m/>
    <m/>
    <m/>
    <m/>
    <m/>
    <m/>
    <n v="274328757"/>
  </r>
  <r>
    <n v="5"/>
    <n v="44"/>
    <s v="FABIND9INRDZI"/>
    <s v="INDUSTOWER"/>
    <s v="I"/>
    <s v="FI2627000134"/>
    <d v="2026-04-21T00:00:00"/>
    <s v="INR"/>
    <x v="14"/>
    <d v="2026-05-31T00:00:00"/>
    <d v="2026-04-23T00:00:00"/>
    <d v="2026-06-20T00:00:00"/>
    <n v="10049"/>
    <d v="2026-04-21T00:00:00"/>
    <m/>
    <m/>
    <s v="TOWER GBT 3Legged VM 30M 170KMPH"/>
    <n v="433502.02799999999"/>
    <n v="7.6999999999999999E-2"/>
    <n v="58"/>
    <n v="5304"/>
    <n v="428198.02799999999"/>
    <m/>
    <m/>
    <m/>
    <m/>
    <m/>
    <m/>
    <n v="274518331.07999998"/>
  </r>
  <r>
    <n v="5"/>
    <n v="45"/>
    <s v="FABIND9INRDZI"/>
    <s v="INDUSTOWER"/>
    <s v="I"/>
    <s v="FI2627000135"/>
    <d v="2026-04-21T00:00:00"/>
    <s v="INR"/>
    <x v="10"/>
    <d v="2026-05-31T00:00:00"/>
    <d v="2026-04-23T00:00:00"/>
    <d v="2026-06-20T00:00:00"/>
    <n v="10050"/>
    <d v="2026-04-21T00:00:00"/>
    <m/>
    <m/>
    <s v="Tower- GBT- Elite 403 STR - 3L TBLR 40M"/>
    <n v="455407.90200000006"/>
    <n v="7.6999999999999999E-2"/>
    <n v="58"/>
    <n v="5572"/>
    <n v="449835.90200000006"/>
    <m/>
    <m/>
    <m/>
    <m/>
    <m/>
    <m/>
    <n v="274493991.22000003"/>
  </r>
  <r>
    <n v="5"/>
    <n v="46"/>
    <s v="FABIND9INRDZI"/>
    <s v="INDUSTOWER"/>
    <s v="I"/>
    <s v="FI2627000136"/>
    <d v="2026-04-21T00:00:00"/>
    <s v="INR"/>
    <x v="10"/>
    <d v="2026-05-31T00:00:00"/>
    <d v="2026-04-23T00:00:00"/>
    <d v="2026-06-20T00:00:00"/>
    <n v="78519"/>
    <d v="2026-04-21T00:00:00"/>
    <m/>
    <m/>
    <s v="Tower- GBT- Elite 403 STR - 3L TBLR 40M"/>
    <n v="455407.90200000006"/>
    <n v="7.6999999999999999E-2"/>
    <n v="58"/>
    <n v="5572"/>
    <n v="449835.90200000006"/>
    <m/>
    <m/>
    <m/>
    <m/>
    <m/>
    <m/>
    <n v="274493991.22000003"/>
  </r>
  <r>
    <n v="5"/>
    <n v="47"/>
    <s v="FABIND9INRDZI"/>
    <s v="INDUSTOWER"/>
    <s v="I"/>
    <s v="FI2627000137"/>
    <d v="2026-04-21T00:00:00"/>
    <s v="INR"/>
    <x v="10"/>
    <d v="2026-05-31T00:00:00"/>
    <d v="2026-04-23T00:00:00"/>
    <d v="2026-06-20T00:00:00"/>
    <n v="78520"/>
    <d v="2026-04-21T00:00:00"/>
    <m/>
    <m/>
    <s v="Tower- GBT- Elite 403 STR - 3L TBLR 40M"/>
    <n v="455407.90200000006"/>
    <n v="7.6999999999999999E-2"/>
    <n v="58"/>
    <n v="5572"/>
    <n v="449835.90200000006"/>
    <m/>
    <m/>
    <m/>
    <m/>
    <m/>
    <m/>
    <n v="274493991.22000003"/>
  </r>
  <r>
    <n v="5"/>
    <n v="48"/>
    <s v="FABIND9INRDZI"/>
    <s v="INDUSTOWER"/>
    <s v="I"/>
    <s v="FI2627000139"/>
    <d v="2026-04-21T00:00:00"/>
    <s v="INR"/>
    <x v="10"/>
    <d v="2026-05-31T00:00:00"/>
    <d v="2026-04-23T00:00:00"/>
    <d v="2026-06-20T00:00:00"/>
    <n v="78521"/>
    <d v="2026-04-21T00:00:00"/>
    <m/>
    <m/>
    <s v="Tower- GBT- Elite 403 STR - 3L TBLR 40M"/>
    <n v="455407.90200000006"/>
    <n v="7.6999999999999999E-2"/>
    <n v="58"/>
    <n v="5572"/>
    <n v="449835.90200000006"/>
    <m/>
    <m/>
    <m/>
    <m/>
    <m/>
    <m/>
    <n v="274493991.22000003"/>
  </r>
  <r>
    <n v="5"/>
    <n v="49"/>
    <s v="FABIND9INRDZI"/>
    <s v="INDUSTOWER"/>
    <s v="I"/>
    <s v="FI2627000140"/>
    <d v="2026-04-21T00:00:00"/>
    <s v="INR"/>
    <x v="10"/>
    <d v="2026-05-31T00:00:00"/>
    <d v="2026-04-23T00:00:00"/>
    <d v="2026-06-20T00:00:00"/>
    <n v="10051"/>
    <d v="2026-04-21T00:00:00"/>
    <m/>
    <m/>
    <s v="Tower- GBT- Elite 403 STR - 3L TBLR 40M"/>
    <n v="455407.90200000006"/>
    <n v="7.6999999999999999E-2"/>
    <n v="58"/>
    <n v="5572"/>
    <n v="449835.90200000006"/>
    <m/>
    <m/>
    <m/>
    <m/>
    <m/>
    <m/>
    <n v="274493991.22000003"/>
  </r>
  <r>
    <n v="5"/>
    <n v="50"/>
    <s v="FABIND9INRDZI"/>
    <s v="INDUSTOWER"/>
    <s v="I"/>
    <s v="FI2627000148"/>
    <d v="2026-04-21T00:00:00"/>
    <s v="INR"/>
    <x v="10"/>
    <d v="2026-05-31T00:00:00"/>
    <d v="2026-04-23T00:00:00"/>
    <d v="2026-06-20T00:00:00"/>
    <n v="78522"/>
    <d v="2026-04-21T00:00:00"/>
    <m/>
    <m/>
    <s v="Tower- GBT- Elite 403 STR - 3L TBLR 40M"/>
    <n v="455407.90200000006"/>
    <n v="7.6999999999999999E-2"/>
    <n v="58"/>
    <n v="5572"/>
    <n v="449835.90200000006"/>
    <m/>
    <m/>
    <m/>
    <m/>
    <m/>
    <m/>
    <n v="274493991.22000003"/>
  </r>
  <r>
    <n v="6"/>
    <n v="51"/>
    <s v="FABIND9INRDZI"/>
    <s v="INDUSTOWER"/>
    <s v="I"/>
    <s v="FI2627000151"/>
    <d v="2026-04-22T00:00:00"/>
    <s v="INR"/>
    <x v="15"/>
    <d v="2026-06-01T00:00:00"/>
    <d v="2026-04-23T00:00:00"/>
    <d v="2026-06-21T00:00:00"/>
    <n v="25333"/>
    <d v="2026-04-22T00:00:00"/>
    <m/>
    <m/>
    <s v="SLIP JOINT MONOPOLE-30M (INDUS)"/>
    <n v="786486.402"/>
    <n v="7.6999999999999999E-2"/>
    <n v="59"/>
    <n v="9789"/>
    <n v="776697.402"/>
    <m/>
    <m/>
    <m/>
    <m/>
    <m/>
    <m/>
    <n v="274126126.22000003"/>
  </r>
  <r>
    <n v="6"/>
    <n v="52"/>
    <s v="FABIND9INRDZI"/>
    <s v="INDUSTOWER"/>
    <s v="I"/>
    <s v="FI2627000152"/>
    <d v="2026-04-22T00:00:00"/>
    <s v="INR"/>
    <x v="11"/>
    <d v="2026-06-01T00:00:00"/>
    <d v="2026-04-23T00:00:00"/>
    <d v="2026-06-21T00:00:00"/>
    <n v="10054"/>
    <d v="2026-04-22T00:00:00"/>
    <m/>
    <m/>
    <s v="Tower- GBT- Elite 403 STR - 3L TBLR 40M"/>
    <n v="434993.076"/>
    <n v="7.6999999999999999E-2"/>
    <n v="59"/>
    <n v="5414"/>
    <n v="429579.076"/>
    <m/>
    <m/>
    <m/>
    <m/>
    <m/>
    <m/>
    <n v="274516674.36000001"/>
  </r>
  <r>
    <n v="6"/>
    <n v="53"/>
    <s v="FABIND9INRDZI"/>
    <s v="INDUSTOWER"/>
    <s v="I"/>
    <s v="FI2627000153"/>
    <d v="2026-04-22T00:00:00"/>
    <s v="INR"/>
    <x v="11"/>
    <d v="2026-06-01T00:00:00"/>
    <d v="2026-04-23T00:00:00"/>
    <d v="2026-06-21T00:00:00"/>
    <n v="10053"/>
    <d v="2026-04-22T00:00:00"/>
    <m/>
    <m/>
    <s v="Tower- GBT- Elite 403 STR - 3L TBLR 40M"/>
    <n v="434993.076"/>
    <n v="7.6999999999999999E-2"/>
    <n v="59"/>
    <n v="5414"/>
    <n v="429579.076"/>
    <m/>
    <m/>
    <m/>
    <m/>
    <m/>
    <m/>
    <n v="274516674.36000001"/>
  </r>
  <r>
    <n v="6"/>
    <n v="54"/>
    <s v="FABIND9INRDZI"/>
    <s v="INDUSTOWER"/>
    <s v="I"/>
    <s v="FI2627000156"/>
    <d v="2026-04-22T00:00:00"/>
    <s v="INR"/>
    <x v="11"/>
    <d v="2026-06-01T00:00:00"/>
    <d v="2026-04-23T00:00:00"/>
    <d v="2026-06-21T00:00:00"/>
    <n v="21129"/>
    <d v="2026-04-22T00:00:00"/>
    <m/>
    <m/>
    <s v="Tower- GBT- Elite 403 STR - 3L TBLR 40M"/>
    <n v="434993.076"/>
    <n v="7.6999999999999999E-2"/>
    <n v="59"/>
    <n v="5414"/>
    <n v="429579.076"/>
    <m/>
    <m/>
    <m/>
    <m/>
    <m/>
    <m/>
    <n v="274516674.36000001"/>
  </r>
  <r>
    <n v="7"/>
    <n v="55"/>
    <s v="FABIND9INRDZI"/>
    <s v="INDUSTOWER"/>
    <s v="I"/>
    <s v="FI2627000168"/>
    <d v="2026-04-23T00:00:00"/>
    <s v="INR"/>
    <x v="16"/>
    <d v="2026-06-02T00:00:00"/>
    <d v="2026-04-23T00:00:00"/>
    <d v="2026-06-22T00:00:00"/>
    <s v="11527"/>
    <d v="2026-04-23T00:00:00"/>
    <m/>
    <m/>
    <s v="Tower- GBT- Elite-402 - 3L TBLR 40M 140"/>
    <n v="410351.49"/>
    <n v="7.6999999999999999E-2"/>
    <n v="60"/>
    <n v="5194"/>
    <n v="405157.49"/>
    <m/>
    <m/>
    <m/>
    <m/>
    <m/>
    <m/>
    <n v="274544053.89999998"/>
  </r>
  <r>
    <n v="7"/>
    <n v="56"/>
    <s v="FABIND9INRDZI"/>
    <s v="INDUSTOWER"/>
    <s v="I"/>
    <s v="FI2627000169"/>
    <d v="2026-04-23T00:00:00"/>
    <s v="INR"/>
    <x v="11"/>
    <d v="2026-06-02T00:00:00"/>
    <d v="2026-04-23T00:00:00"/>
    <d v="2026-06-22T00:00:00"/>
    <s v="11528"/>
    <d v="2026-04-23T00:00:00"/>
    <m/>
    <m/>
    <s v="Tower- GBT- Elite 403 STR - 3L TBLR 40M"/>
    <n v="434993.076"/>
    <n v="7.6999999999999999E-2"/>
    <n v="60"/>
    <n v="5506"/>
    <n v="429487.076"/>
    <m/>
    <m/>
    <m/>
    <m/>
    <m/>
    <m/>
    <n v="274516674.36000001"/>
  </r>
  <r>
    <n v="8"/>
    <n v="57"/>
    <s v="FABIND9INRDZI"/>
    <s v="INDUSTOWER"/>
    <s v="I"/>
    <s v="FI2627000176"/>
    <d v="2026-04-24T00:00:00"/>
    <s v="INR"/>
    <x v="17"/>
    <d v="2026-06-03T00:00:00"/>
    <d v="2026-04-24T00:00:00"/>
    <d v="2026-06-23T00:00:00"/>
    <s v="10061"/>
    <d v="2026-04-24T00:00:00"/>
    <m/>
    <m/>
    <s v="TowerGBT-3 Leg Tubular VT30M 200 KMPH"/>
    <n v="616120.36200000008"/>
    <n v="7.6999999999999999E-2"/>
    <n v="60"/>
    <n v="7799"/>
    <n v="608321.36200000008"/>
    <m/>
    <m/>
    <m/>
    <m/>
    <m/>
    <m/>
    <n v="274315421.81999999"/>
  </r>
  <r>
    <n v="8"/>
    <n v="58"/>
    <s v="FABIND9INRDZI"/>
    <s v="INDUSTOWER"/>
    <s v="I"/>
    <s v="FI2627000177"/>
    <d v="2026-04-24T00:00:00"/>
    <s v="INR"/>
    <x v="18"/>
    <d v="2026-06-03T00:00:00"/>
    <d v="2026-04-24T00:00:00"/>
    <d v="2026-06-23T00:00:00"/>
    <s v="10062"/>
    <d v="2026-04-24T00:00:00"/>
    <m/>
    <m/>
    <s v="Cast In part GBT-3L TBLR VT30M 200KMPH"/>
    <n v="67737.546000000002"/>
    <n v="7.6999999999999999E-2"/>
    <n v="60"/>
    <n v="857"/>
    <n v="66880.546000000002"/>
    <m/>
    <m/>
    <m/>
    <m/>
    <m/>
    <m/>
    <n v="274924736.06"/>
  </r>
  <r>
    <n v="8"/>
    <n v="59"/>
    <s v="FABIND9INRDZI"/>
    <s v="INDUSTOWER"/>
    <s v="I"/>
    <s v="FI2627000178"/>
    <d v="2026-04-24T00:00:00"/>
    <s v="INR"/>
    <x v="17"/>
    <d v="2026-06-03T00:00:00"/>
    <d v="2026-04-24T00:00:00"/>
    <d v="2026-06-23T00:00:00"/>
    <s v="10063"/>
    <d v="2026-04-24T00:00:00"/>
    <m/>
    <m/>
    <s v="TowerGBT-3 Leg Tubular VT30M 200 KMPH"/>
    <n v="616120.36200000008"/>
    <n v="7.6999999999999999E-2"/>
    <n v="60"/>
    <n v="7799"/>
    <n v="608321.36200000008"/>
    <m/>
    <m/>
    <m/>
    <m/>
    <m/>
    <m/>
    <n v="274315421.81999999"/>
  </r>
  <r>
    <n v="8"/>
    <n v="60"/>
    <s v="FABIND9INRDZI"/>
    <s v="INDUSTOWER"/>
    <s v="I"/>
    <s v="FI2627000179"/>
    <d v="2026-04-24T00:00:00"/>
    <s v="INR"/>
    <x v="18"/>
    <d v="2026-06-03T00:00:00"/>
    <d v="2026-04-24T00:00:00"/>
    <d v="2026-06-23T00:00:00"/>
    <s v="10064"/>
    <d v="2026-04-24T00:00:00"/>
    <m/>
    <m/>
    <s v="Cast In part GBT-3L TBLR VT30M 200KMPH"/>
    <n v="67737.546000000002"/>
    <n v="7.6999999999999999E-2"/>
    <n v="60"/>
    <n v="857"/>
    <n v="66880.546000000002"/>
    <m/>
    <m/>
    <m/>
    <m/>
    <m/>
    <m/>
    <n v="274924736.06"/>
  </r>
  <r>
    <n v="8"/>
    <n v="61"/>
    <s v="FABIND9INRDZI"/>
    <s v="INDUSTOWER"/>
    <s v="I"/>
    <s v="FI2627000182"/>
    <d v="2026-04-24T00:00:00"/>
    <s v="INR"/>
    <x v="19"/>
    <d v="2026-06-03T00:00:00"/>
    <d v="2026-04-24T00:00:00"/>
    <d v="2026-06-23T00:00:00"/>
    <s v="806"/>
    <d v="2026-04-24T00:00:00"/>
    <m/>
    <m/>
    <s v="NBT 40Mtr Tower"/>
    <n v="517020.89400000003"/>
    <n v="7.6999999999999999E-2"/>
    <n v="60"/>
    <n v="6544"/>
    <n v="510476.89400000003"/>
    <m/>
    <m/>
    <m/>
    <m/>
    <m/>
    <m/>
    <n v="274425532.33999997"/>
  </r>
  <r>
    <n v="8"/>
    <n v="62"/>
    <s v="FABIND9INRDZI"/>
    <s v="INDUSTOWER"/>
    <s v="I"/>
    <s v="FI2627000183"/>
    <d v="2026-04-24T00:00:00"/>
    <s v="INR"/>
    <x v="19"/>
    <d v="2026-06-03T00:00:00"/>
    <d v="2026-04-24T00:00:00"/>
    <d v="2026-06-23T00:00:00"/>
    <s v="805"/>
    <d v="2026-04-24T00:00:00"/>
    <m/>
    <m/>
    <s v="NBT 40Mtr Tower"/>
    <n v="517020.89400000003"/>
    <n v="7.6999999999999999E-2"/>
    <n v="60"/>
    <n v="6544"/>
    <n v="510476.89400000003"/>
    <m/>
    <m/>
    <m/>
    <m/>
    <m/>
    <m/>
    <n v="274425532.33999997"/>
  </r>
  <r>
    <n v="8"/>
    <n v="63"/>
    <s v="FABIND9INRDZI"/>
    <s v="INDUSTOWER"/>
    <s v="I"/>
    <s v="FI2627000184"/>
    <d v="2026-04-24T00:00:00"/>
    <s v="INR"/>
    <x v="19"/>
    <d v="2026-06-03T00:00:00"/>
    <d v="2026-04-24T00:00:00"/>
    <d v="2026-06-23T00:00:00"/>
    <s v="807"/>
    <d v="2026-04-24T00:00:00"/>
    <m/>
    <m/>
    <s v="NBT 40Mtr Tower"/>
    <n v="517020.89400000003"/>
    <n v="7.6999999999999999E-2"/>
    <n v="60"/>
    <n v="6544"/>
    <n v="510476.89400000003"/>
    <m/>
    <m/>
    <m/>
    <m/>
    <m/>
    <m/>
    <n v="274425532.33999997"/>
  </r>
  <r>
    <n v="8"/>
    <n v="64"/>
    <s v="FABIND9INRDZI"/>
    <s v="INDUSTOWER"/>
    <s v="I"/>
    <s v="FI2627000185"/>
    <d v="2026-04-24T00:00:00"/>
    <s v="INR"/>
    <x v="19"/>
    <d v="2026-06-03T00:00:00"/>
    <d v="2026-04-24T00:00:00"/>
    <d v="2026-06-23T00:00:00"/>
    <s v="10066"/>
    <d v="2026-04-24T00:00:00"/>
    <m/>
    <m/>
    <s v="NBT 40Mtr Tower"/>
    <n v="517020.89400000003"/>
    <n v="7.6999999999999999E-2"/>
    <n v="60"/>
    <n v="6544"/>
    <n v="510476.89400000003"/>
    <m/>
    <m/>
    <m/>
    <m/>
    <m/>
    <m/>
    <n v="274425532.33999997"/>
  </r>
  <r>
    <n v="8"/>
    <n v="65"/>
    <s v="FABIND9INRDZI"/>
    <s v="INDUSTOWER"/>
    <s v="I"/>
    <s v="FI2627000186"/>
    <d v="2026-04-24T00:00:00"/>
    <s v="INR"/>
    <x v="19"/>
    <d v="2026-06-03T00:00:00"/>
    <d v="2026-04-24T00:00:00"/>
    <d v="2026-06-23T00:00:00"/>
    <s v="10067"/>
    <d v="2026-04-24T00:00:00"/>
    <m/>
    <m/>
    <s v="NBT 40Mtr Tower"/>
    <n v="517020.89400000003"/>
    <n v="7.6999999999999999E-2"/>
    <n v="60"/>
    <n v="6544"/>
    <n v="510476.89400000003"/>
    <m/>
    <m/>
    <m/>
    <m/>
    <m/>
    <m/>
    <n v="274425532.33999997"/>
  </r>
  <r>
    <n v="8"/>
    <n v="66"/>
    <s v="FABIND9INRDZI"/>
    <s v="INDUSTOWER"/>
    <s v="I"/>
    <s v="FI2627000188"/>
    <d v="2026-04-24T00:00:00"/>
    <s v="INR"/>
    <x v="14"/>
    <d v="2026-06-03T00:00:00"/>
    <d v="2026-04-24T00:00:00"/>
    <d v="2026-06-23T00:00:00"/>
    <s v="11529"/>
    <d v="2026-04-24T00:00:00"/>
    <m/>
    <m/>
    <s v="TOWER GBT 3Legged VM 30M 170KMPH"/>
    <n v="433502.02799999999"/>
    <n v="7.6999999999999999E-2"/>
    <n v="60"/>
    <n v="5487"/>
    <n v="428015.02799999999"/>
    <m/>
    <m/>
    <m/>
    <m/>
    <m/>
    <m/>
    <n v="274518331.07999998"/>
  </r>
  <r>
    <n v="9"/>
    <n v="67"/>
    <s v="FABIND9INRDZI"/>
    <s v="INDUSTOWER"/>
    <s v="I"/>
    <s v="FI2627000196"/>
    <d v="2026-04-26T00:00:00"/>
    <s v="INR"/>
    <x v="19"/>
    <d v="2026-06-05T00:00:00"/>
    <d v="2026-04-27T00:00:00"/>
    <d v="2026-06-25T00:00:00"/>
    <s v="78526"/>
    <d v="2026-04-26T00:00:00"/>
    <m/>
    <m/>
    <s v="NBT 40Mtr Tower"/>
    <n v="517020.89400000003"/>
    <n v="7.6999999999999999E-2"/>
    <n v="59"/>
    <n v="6435"/>
    <n v="510585.89400000003"/>
    <m/>
    <m/>
    <m/>
    <m/>
    <m/>
    <m/>
    <n v="274425532.33999997"/>
  </r>
  <r>
    <n v="9"/>
    <n v="68"/>
    <s v="FABIND9INRDZI"/>
    <s v="INDUSTOWER"/>
    <s v="I"/>
    <s v="FI2627000197"/>
    <d v="2026-04-26T00:00:00"/>
    <s v="INR"/>
    <x v="19"/>
    <d v="2026-06-05T00:00:00"/>
    <d v="2026-04-27T00:00:00"/>
    <d v="2026-06-25T00:00:00"/>
    <s v="10070"/>
    <d v="2026-04-26T00:00:00"/>
    <m/>
    <m/>
    <s v="NBT 40Mtr Tower"/>
    <n v="517020.89400000003"/>
    <n v="7.6999999999999999E-2"/>
    <n v="59"/>
    <n v="6435"/>
    <n v="510585.89400000003"/>
    <m/>
    <m/>
    <m/>
    <m/>
    <m/>
    <m/>
    <n v="274425532.33999997"/>
  </r>
  <r>
    <n v="9"/>
    <n v="69"/>
    <s v="FABIND9INRDZI"/>
    <s v="INDUSTOWER"/>
    <s v="I"/>
    <s v="FI2627000198"/>
    <d v="2026-04-26T00:00:00"/>
    <s v="INR"/>
    <x v="19"/>
    <d v="2026-06-05T00:00:00"/>
    <d v="2026-04-27T00:00:00"/>
    <d v="2026-06-25T00:00:00"/>
    <s v="810"/>
    <d v="2026-04-26T00:00:00"/>
    <m/>
    <m/>
    <s v="NBT 40Mtr Tower"/>
    <n v="517020.89400000003"/>
    <n v="7.6999999999999999E-2"/>
    <n v="59"/>
    <n v="6435"/>
    <n v="510585.89400000003"/>
    <m/>
    <m/>
    <m/>
    <m/>
    <m/>
    <m/>
    <n v="274425532.33999997"/>
  </r>
  <r>
    <n v="9"/>
    <n v="70"/>
    <s v="FABIND9INRDZI"/>
    <s v="INDUSTOWER"/>
    <s v="I"/>
    <s v="FI2627000199"/>
    <d v="2026-04-26T00:00:00"/>
    <s v="INR"/>
    <x v="19"/>
    <d v="2026-06-05T00:00:00"/>
    <d v="2026-04-27T00:00:00"/>
    <d v="2026-06-25T00:00:00"/>
    <s v="11530"/>
    <d v="2026-04-26T00:00:00"/>
    <m/>
    <m/>
    <s v="NBT 40Mtr Tower"/>
    <n v="517020.89400000003"/>
    <n v="7.6999999999999999E-2"/>
    <n v="59"/>
    <n v="6435"/>
    <n v="510585.89400000003"/>
    <m/>
    <m/>
    <m/>
    <m/>
    <m/>
    <m/>
    <n v="274425532.33999997"/>
  </r>
  <r>
    <n v="0"/>
    <n v="71"/>
    <s v="FABIND9INRDZI"/>
    <s v="RELIANCEIN"/>
    <s v="I"/>
    <s v="FI2526009378"/>
    <d v="2026-03-12T00:00:00"/>
    <s v="INR"/>
    <x v="20"/>
    <d v="2026-04-25T00:00:00"/>
    <d v="2026-04-23T00:00:00"/>
    <d v="2026-05-15T00:00:00"/>
    <m/>
    <d v="2026-03-12T00:00:00"/>
    <m/>
    <m/>
    <m/>
    <n v="687876.66899999999"/>
    <n v="7.6999999999999999E-2"/>
    <n v="22"/>
    <n v="3193"/>
    <n v="684683.66899999999"/>
    <m/>
    <m/>
    <m/>
    <m/>
    <m/>
    <m/>
    <n v="219235692.59"/>
  </r>
  <r>
    <n v="1"/>
    <n v="72"/>
    <s v="FABIND9INRDZI"/>
    <s v="RELIANCEIN"/>
    <s v="I"/>
    <s v="FI2627000094"/>
    <d v="2026-04-16T00:00:00"/>
    <s v="INR"/>
    <x v="21"/>
    <d v="2026-05-30T00:00:00"/>
    <d v="2026-04-20T00:00:00"/>
    <d v="2026-06-19T00:00:00"/>
    <n v="2000146043"/>
    <d v="2026-04-16T00:00:00"/>
    <m/>
    <m/>
    <s v="CIP for 12/18 Panel Structure_New Design"/>
    <n v="740214"/>
    <n v="7.6999999999999999E-2"/>
    <n v="60"/>
    <n v="9369"/>
    <n v="730845"/>
    <m/>
    <m/>
    <m/>
    <m/>
    <m/>
    <m/>
    <n v="219177540"/>
  </r>
  <r>
    <n v="1"/>
    <n v="73"/>
    <s v="FABIND9INRDZI"/>
    <s v="RELIANCEIN"/>
    <s v="I"/>
    <s v="FI2627000107"/>
    <d v="2026-04-19T00:00:00"/>
    <s v="INR"/>
    <x v="21"/>
    <d v="2026-06-02T00:00:00"/>
    <d v="2026-04-20T00:00:00"/>
    <d v="2026-06-22T00:00:00"/>
    <n v="2000146110"/>
    <d v="2026-04-19T00:00:00"/>
    <m/>
    <m/>
    <s v="CIP for 12/18 Panel Structure_New Design"/>
    <n v="740214"/>
    <n v="7.6999999999999999E-2"/>
    <n v="63"/>
    <n v="9838"/>
    <n v="730376"/>
    <m/>
    <m/>
    <m/>
    <m/>
    <m/>
    <m/>
    <n v="219177540"/>
  </r>
  <r>
    <n v="2"/>
    <n v="74"/>
    <s v="FABIND9INRDZI"/>
    <s v="RELIANCEIN"/>
    <s v="I"/>
    <s v="FI2627000123"/>
    <d v="2026-04-20T00:00:00"/>
    <s v="INR"/>
    <x v="22"/>
    <d v="2026-06-03T00:00:00"/>
    <d v="2026-04-23T00:00:00"/>
    <d v="2026-06-23T00:00:00"/>
    <n v="2000146126"/>
    <d v="2026-04-20T00:00:00"/>
    <m/>
    <m/>
    <s v="TOWER12A TUBULR3 LEG W PLT &amp; FNCE-FAB"/>
    <n v="689835.90599999996"/>
    <n v="7.6999999999999999E-2"/>
    <n v="61"/>
    <n v="8877"/>
    <n v="680958.90599999996"/>
    <m/>
    <m/>
    <m/>
    <m/>
    <m/>
    <m/>
    <n v="219233515.66"/>
  </r>
  <r>
    <n v="2"/>
    <n v="75"/>
    <s v="FABIND9INRDZI"/>
    <s v="RELIANCEIN"/>
    <s v="I"/>
    <s v="FI2627000124"/>
    <d v="2026-04-20T00:00:00"/>
    <s v="INR"/>
    <x v="22"/>
    <d v="2026-06-03T00:00:00"/>
    <d v="2026-04-23T00:00:00"/>
    <d v="2026-06-23T00:00:00"/>
    <n v="2000146129"/>
    <d v="2026-04-20T00:00:00"/>
    <m/>
    <m/>
    <s v="TOWER12A TUBULR3 LEG W PLT &amp; FNCE-FAB"/>
    <n v="689835.90599999996"/>
    <n v="7.6999999999999999E-2"/>
    <n v="61"/>
    <n v="8877"/>
    <n v="680958.90599999996"/>
    <m/>
    <m/>
    <m/>
    <m/>
    <m/>
    <m/>
    <n v="219233515.66"/>
  </r>
  <r>
    <n v="2"/>
    <n v="76"/>
    <s v="FABIND9INRDZI"/>
    <s v="RELIANCEIN"/>
    <s v="I"/>
    <s v="FI2627000125"/>
    <d v="2026-04-20T00:00:00"/>
    <s v="INR"/>
    <x v="22"/>
    <d v="2026-06-03T00:00:00"/>
    <d v="2026-04-23T00:00:00"/>
    <d v="2026-06-23T00:00:00"/>
    <n v="2000146130"/>
    <d v="2026-04-20T00:00:00"/>
    <m/>
    <m/>
    <s v="TOWER12A TUBULR3 LEG W PLT &amp; FNCE-FAB"/>
    <n v="689835.90599999996"/>
    <n v="7.6999999999999999E-2"/>
    <n v="61"/>
    <n v="8877"/>
    <n v="680958.90599999996"/>
    <m/>
    <m/>
    <m/>
    <m/>
    <m/>
    <m/>
    <n v="219233515.66"/>
  </r>
  <r>
    <n v="2"/>
    <n v="77"/>
    <s v="FABIND9INRDZI"/>
    <s v="RELIANCEIN"/>
    <s v="I"/>
    <s v="FI2627000126"/>
    <d v="2026-04-20T00:00:00"/>
    <s v="INR"/>
    <x v="22"/>
    <d v="2026-06-03T00:00:00"/>
    <d v="2026-04-23T00:00:00"/>
    <d v="2026-06-23T00:00:00"/>
    <n v="2000146128"/>
    <d v="2026-04-20T00:00:00"/>
    <m/>
    <m/>
    <s v="TOWER12A TUBULR3 LEG W PLT &amp; FNCE-FAB"/>
    <n v="689835.90599999996"/>
    <n v="7.6999999999999999E-2"/>
    <n v="61"/>
    <n v="8877"/>
    <n v="680958.90599999996"/>
    <m/>
    <m/>
    <m/>
    <m/>
    <m/>
    <m/>
    <n v="219233515.66"/>
  </r>
  <r>
    <n v="2"/>
    <n v="78"/>
    <s v="FABIND9INRDZI"/>
    <s v="RELIANCEIN"/>
    <s v="I"/>
    <s v="FI2627000143"/>
    <d v="2026-04-21T00:00:00"/>
    <s v="INR"/>
    <x v="21"/>
    <d v="2026-06-04T00:00:00"/>
    <d v="2026-04-23T00:00:00"/>
    <d v="2026-06-24T00:00:00"/>
    <n v="2000146147"/>
    <d v="2026-04-21T00:00:00"/>
    <m/>
    <m/>
    <s v="CIP for 12/18 Panel Structure_New Design"/>
    <n v="740214"/>
    <n v="7.6999999999999999E-2"/>
    <n v="62"/>
    <n v="9682"/>
    <n v="730532"/>
    <m/>
    <m/>
    <m/>
    <m/>
    <m/>
    <m/>
    <n v="219177540"/>
  </r>
  <r>
    <n v="2"/>
    <n v="79"/>
    <s v="FABIND9INRDZI"/>
    <s v="RELIANCEIN"/>
    <s v="I"/>
    <s v="FI2627000146"/>
    <d v="2026-04-21T00:00:00"/>
    <s v="INR"/>
    <x v="21"/>
    <d v="2026-06-04T00:00:00"/>
    <d v="2026-04-23T00:00:00"/>
    <d v="2026-06-24T00:00:00"/>
    <n v="2000146148"/>
    <d v="2026-04-21T00:00:00"/>
    <m/>
    <m/>
    <s v="CIP for 12/18 Panel Structure_New Design"/>
    <n v="740214"/>
    <n v="7.6999999999999999E-2"/>
    <n v="62"/>
    <n v="9682"/>
    <n v="730532"/>
    <m/>
    <m/>
    <m/>
    <m/>
    <m/>
    <m/>
    <n v="219177540"/>
  </r>
  <r>
    <n v="3"/>
    <n v="80"/>
    <s v="FABIND9INRDZI"/>
    <s v="RELIANCEIN"/>
    <s v="I"/>
    <s v="FI2627000154"/>
    <d v="2026-04-22T00:00:00"/>
    <s v="INR"/>
    <x v="23"/>
    <d v="2026-06-05T00:00:00"/>
    <d v="2026-04-23T00:00:00"/>
    <d v="2026-06-25T00:00:00"/>
    <n v="2000146151"/>
    <d v="2026-04-22T00:00:00"/>
    <m/>
    <m/>
    <s v="TOWER12A TUBULR3 LEG W PLT &amp; FNCE-FAB"/>
    <n v="962278.20000000007"/>
    <n v="7.6999999999999999E-2"/>
    <n v="63"/>
    <n v="12789"/>
    <n v="949489.20000000007"/>
    <m/>
    <m/>
    <m/>
    <m/>
    <m/>
    <m/>
    <n v="218930802"/>
  </r>
  <r>
    <n v="4"/>
    <n v="81"/>
    <s v="FABIND9INRDZI"/>
    <s v="RELIANCEIN"/>
    <s v="I"/>
    <s v="FI2627000164"/>
    <d v="2026-04-23T00:00:00"/>
    <s v="INR"/>
    <x v="24"/>
    <d v="2026-06-06T00:00:00"/>
    <d v="2026-04-23T00:00:00"/>
    <d v="2026-06-26T00:00:00"/>
    <s v="2000146179"/>
    <d v="2026-04-23T00:00:00"/>
    <m/>
    <m/>
    <s v="GBM30MTRIBANDLOADING50M/S-FAB"/>
    <n v="825174"/>
    <n v="7.6999999999999999E-2"/>
    <n v="64"/>
    <n v="11141"/>
    <n v="814033"/>
    <m/>
    <m/>
    <m/>
    <m/>
    <m/>
    <m/>
    <n v="219083140"/>
  </r>
  <r>
    <n v="4"/>
    <n v="82"/>
    <s v="FABIND9INRDZI"/>
    <s v="RELIANCEIN"/>
    <s v="I"/>
    <s v="FI2627000165"/>
    <d v="2026-04-23T00:00:00"/>
    <s v="INR"/>
    <x v="25"/>
    <d v="2026-06-06T00:00:00"/>
    <d v="2026-04-23T00:00:00"/>
    <d v="2026-06-26T00:00:00"/>
    <s v="2000146180"/>
    <d v="2026-04-23T00:00:00"/>
    <m/>
    <m/>
    <s v="TUBULAR POLE 23M HIGH WS-50M/S"/>
    <n v="763200.99"/>
    <n v="7.6999999999999999E-2"/>
    <n v="64"/>
    <n v="10304"/>
    <n v="752896.99"/>
    <m/>
    <m/>
    <m/>
    <m/>
    <m/>
    <m/>
    <n v="219151998.90000001"/>
  </r>
  <r>
    <n v="4"/>
    <n v="83"/>
    <s v="FABIND9INRDZI"/>
    <s v="RELIANCEIN"/>
    <s v="I"/>
    <s v="FI2627000170"/>
    <d v="2026-04-23T00:00:00"/>
    <s v="INR"/>
    <x v="22"/>
    <d v="2026-06-06T00:00:00"/>
    <d v="2026-04-23T00:00:00"/>
    <d v="2026-06-26T00:00:00"/>
    <s v="2000146185"/>
    <d v="2026-04-23T00:00:00"/>
    <m/>
    <m/>
    <s v="TOWER12A TUBULR3 LEG W PLT &amp; FNCE-FAB"/>
    <n v="689835.90599999996"/>
    <n v="7.6999999999999999E-2"/>
    <n v="64"/>
    <n v="9314"/>
    <n v="680521.90599999996"/>
    <m/>
    <m/>
    <m/>
    <m/>
    <m/>
    <m/>
    <n v="219233515.66"/>
  </r>
  <r>
    <n v="4"/>
    <n v="84"/>
    <s v="FABIND9INRDZI"/>
    <s v="RELIANCEIN"/>
    <s v="I"/>
    <s v="FI2627000171"/>
    <d v="2026-04-23T00:00:00"/>
    <s v="INR"/>
    <x v="22"/>
    <d v="2026-06-06T00:00:00"/>
    <d v="2026-04-23T00:00:00"/>
    <d v="2026-06-26T00:00:00"/>
    <s v="2000146189"/>
    <d v="2026-04-23T00:00:00"/>
    <m/>
    <m/>
    <s v="TOWER12A TUBULR3 LEG W PLT &amp; FNCE-FAB"/>
    <n v="689835.90599999996"/>
    <n v="7.6999999999999999E-2"/>
    <n v="64"/>
    <n v="9314"/>
    <n v="680521.90599999996"/>
    <m/>
    <m/>
    <m/>
    <m/>
    <m/>
    <m/>
    <n v="219233515.66"/>
  </r>
  <r>
    <n v="4"/>
    <n v="85"/>
    <s v="FABIND9INRDZI"/>
    <s v="RELIANCEIN"/>
    <s v="I"/>
    <s v="FI2627000175"/>
    <d v="2026-04-23T00:00:00"/>
    <s v="INR"/>
    <x v="22"/>
    <d v="2026-06-06T00:00:00"/>
    <d v="2026-04-23T00:00:00"/>
    <d v="2026-06-26T00:00:00"/>
    <s v="2000146186"/>
    <d v="2026-04-23T00:00:00"/>
    <m/>
    <m/>
    <s v="TOWER12A TUBULR3 LEG W PLT &amp; FNCE-FAB"/>
    <n v="689835.90599999996"/>
    <n v="7.6999999999999999E-2"/>
    <n v="64"/>
    <n v="9314"/>
    <n v="680521.90599999996"/>
    <m/>
    <m/>
    <m/>
    <m/>
    <m/>
    <m/>
    <n v="219233515.66"/>
  </r>
  <r>
    <n v="5"/>
    <n v="86"/>
    <s v="FABIND9INRDZI"/>
    <s v="RELIANCEIN"/>
    <s v="I"/>
    <s v="FI2627000181"/>
    <d v="2026-04-24T00:00:00"/>
    <s v="INR"/>
    <x v="22"/>
    <d v="2026-06-07T00:00:00"/>
    <d v="2026-04-24T00:00:00"/>
    <d v="2026-06-27T00:00:00"/>
    <s v="2000146210"/>
    <d v="2026-04-24T00:00:00"/>
    <m/>
    <m/>
    <s v="TOWER12A TUBULR3 LEG W PLT &amp; FNCE-FAB"/>
    <n v="689835.90599999996"/>
    <n v="7.6999999999999999E-2"/>
    <n v="64"/>
    <n v="9314"/>
    <n v="680521.90599999996"/>
    <m/>
    <m/>
    <m/>
    <m/>
    <m/>
    <m/>
    <n v="219233515.66"/>
  </r>
  <r>
    <n v="5"/>
    <n v="87"/>
    <s v="FABIND9INRDZI"/>
    <s v="RELIANCEIN"/>
    <s v="I"/>
    <s v="FI2627000187"/>
    <d v="2026-04-24T00:00:00"/>
    <s v="INR"/>
    <x v="22"/>
    <d v="2026-06-07T00:00:00"/>
    <d v="2026-04-24T00:00:00"/>
    <d v="2026-06-27T00:00:00"/>
    <s v="2000146212"/>
    <d v="2026-04-24T00:00:00"/>
    <m/>
    <m/>
    <s v="TOWER12A TUBULR3 LEG W PLT &amp; FNCE-FAB"/>
    <n v="689835.90599999996"/>
    <n v="7.6999999999999999E-2"/>
    <n v="64"/>
    <n v="9314"/>
    <n v="680521.90599999996"/>
    <m/>
    <m/>
    <m/>
    <m/>
    <m/>
    <m/>
    <n v="219233515.66"/>
  </r>
  <r>
    <n v="6"/>
    <n v="88"/>
    <s v="FABIND9INRDZI"/>
    <s v="RELIANCEIN"/>
    <s v="I"/>
    <s v="FI2627000191"/>
    <d v="2026-04-24T00:00:00"/>
    <s v="INR"/>
    <x v="26"/>
    <d v="2026-06-07T00:00:00"/>
    <d v="2026-04-27T00:00:00"/>
    <d v="2026-06-27T00:00:00"/>
    <s v="2000146217"/>
    <d v="2026-04-24T00:00:00"/>
    <m/>
    <m/>
    <s v="GBT60M11A-STR439M/STUBLR3L W FENCE"/>
    <n v="1036629.882"/>
    <n v="7.6999999999999999E-2"/>
    <n v="61"/>
    <n v="13340"/>
    <n v="1023289.882"/>
    <m/>
    <m/>
    <m/>
    <m/>
    <m/>
    <m/>
    <n v="218848189.02000001"/>
  </r>
  <r>
    <n v="6"/>
    <n v="89"/>
    <s v="FABIND9INRDZI"/>
    <s v="RELIANCEIN"/>
    <s v="I"/>
    <s v="FI2627000201"/>
    <d v="2026-04-26T00:00:00"/>
    <s v="INR"/>
    <x v="22"/>
    <d v="2026-06-09T00:00:00"/>
    <d v="2026-04-27T00:00:00"/>
    <d v="2026-06-29T00:00:00"/>
    <s v="2000146236"/>
    <d v="2026-04-26T00:00:00"/>
    <m/>
    <m/>
    <s v="TOWER12A TUBULR3 LEG W PLT &amp; FNCE-FAB"/>
    <n v="689835.90599999996"/>
    <n v="7.6999999999999999E-2"/>
    <n v="63"/>
    <n v="9168"/>
    <n v="680667.90599999996"/>
    <m/>
    <m/>
    <m/>
    <m/>
    <m/>
    <m/>
    <n v="219233515.66"/>
  </r>
  <r>
    <n v="0"/>
    <n v="90"/>
    <s v="FABIND9INRDZI"/>
    <s v="SIEMENSLTD"/>
    <s v="I"/>
    <s v="FI2526007253"/>
    <d v="2025-12-29T00:00:00"/>
    <s v="INR"/>
    <x v="27"/>
    <d v="2026-04-28T00:00:00"/>
    <d v="2026-02-09T00:00:00"/>
    <d v="2026-05-18T00:00:00"/>
    <m/>
    <d v="2025-12-29T00:00:00"/>
    <m/>
    <m/>
    <m/>
    <n v="15428440.206"/>
    <n v="7.6999999999999999E-2"/>
    <n v="98"/>
    <n v="318967"/>
    <n v="15109473.206"/>
    <m/>
    <m/>
    <m/>
    <m/>
    <m/>
    <m/>
    <n v="66187288.659999996"/>
  </r>
  <r>
    <n v="0"/>
    <n v="91"/>
    <s v="FABIND9INRDZI"/>
    <s v="SIEMENSLTD"/>
    <s v="I"/>
    <s v="FI2526007571"/>
    <d v="2026-01-15T00:00:00"/>
    <s v="INR"/>
    <x v="28"/>
    <d v="2026-05-15T00:00:00"/>
    <d v="2026-02-09T00:00:00"/>
    <d v="2026-06-04T00:00:00"/>
    <m/>
    <d v="2026-01-15T00:00:00"/>
    <m/>
    <m/>
    <m/>
    <n v="36192.6"/>
    <n v="7.6999999999999999E-2"/>
    <n v="115"/>
    <n v="878"/>
    <n v="35314.6"/>
    <m/>
    <m/>
    <m/>
    <m/>
    <m/>
    <m/>
    <n v="83289786"/>
  </r>
  <r>
    <n v="0"/>
    <n v="92"/>
    <s v="FABIND9INRDZI"/>
    <s v="SIEMENSLTD"/>
    <s v="I"/>
    <s v="FI2526007776"/>
    <d v="2026-01-21T00:00:00"/>
    <s v="INR"/>
    <x v="29"/>
    <d v="2026-05-21T00:00:00"/>
    <d v="2026-02-09T00:00:00"/>
    <d v="2026-06-10T00:00:00"/>
    <m/>
    <d v="2026-01-21T00:00:00"/>
    <m/>
    <m/>
    <m/>
    <n v="9541.8000000000011"/>
    <n v="7.6999999999999999E-2"/>
    <n v="121"/>
    <n v="244"/>
    <n v="9297.8000000000011"/>
    <m/>
    <m/>
    <m/>
    <m/>
    <m/>
    <m/>
    <n v="83319398"/>
  </r>
  <r>
    <n v="0"/>
    <n v="93"/>
    <s v="FABIND9INRDZI"/>
    <s v="SIEMENSLTD"/>
    <s v="I"/>
    <s v="FI2526007863"/>
    <d v="2026-01-24T00:00:00"/>
    <s v="INR"/>
    <x v="30"/>
    <d v="2026-05-24T00:00:00"/>
    <d v="2026-02-09T00:00:00"/>
    <d v="2026-06-13T00:00:00"/>
    <m/>
    <d v="2026-01-24T00:00:00"/>
    <m/>
    <m/>
    <m/>
    <n v="4354857"/>
    <n v="7.6999999999999999E-2"/>
    <n v="124"/>
    <n v="113918"/>
    <n v="4240939"/>
    <m/>
    <m/>
    <m/>
    <m/>
    <m/>
    <m/>
    <n v="78491270"/>
  </r>
  <r>
    <n v="0"/>
    <n v="94"/>
    <s v="FABIND9INRDZI"/>
    <s v="SIEMENSLTD"/>
    <s v="I"/>
    <s v="FI2526008626"/>
    <d v="2026-02-19T00:00:00"/>
    <s v="INR"/>
    <x v="31"/>
    <d v="2026-06-19T00:00:00"/>
    <d v="2026-04-17T00:00:00"/>
    <d v="2026-07-09T00:00:00"/>
    <m/>
    <d v="2026-02-19T00:00:00"/>
    <m/>
    <m/>
    <m/>
    <n v="76134.78"/>
    <n v="7.6999999999999999E-2"/>
    <n v="83"/>
    <n v="1333"/>
    <n v="74801.78"/>
    <m/>
    <m/>
    <m/>
    <m/>
    <m/>
    <m/>
    <n v="83245405.799999997"/>
  </r>
  <r>
    <n v="0"/>
    <n v="95"/>
    <s v="FABIND9INRDZI"/>
    <s v="SIEMENSLTD"/>
    <s v="I"/>
    <s v="FI2526008627"/>
    <d v="2026-02-19T00:00:00"/>
    <s v="INR"/>
    <x v="32"/>
    <d v="2026-06-19T00:00:00"/>
    <d v="2026-04-17T00:00:00"/>
    <d v="2026-07-09T00:00:00"/>
    <m/>
    <d v="2026-02-19T00:00:00"/>
    <m/>
    <m/>
    <m/>
    <n v="83112.12000000001"/>
    <n v="7.6999999999999999E-2"/>
    <n v="83"/>
    <n v="1455"/>
    <n v="81657.12000000001"/>
    <m/>
    <m/>
    <m/>
    <m/>
    <m/>
    <m/>
    <n v="83237653.200000003"/>
  </r>
  <r>
    <n v="0"/>
    <n v="96"/>
    <s v="FABIND9INRDZI"/>
    <s v="SIEMENSLTD"/>
    <s v="I"/>
    <s v="FI2526008643"/>
    <d v="2026-02-20T00:00:00"/>
    <s v="INR"/>
    <x v="33"/>
    <d v="2026-06-20T00:00:00"/>
    <d v="2026-04-17T00:00:00"/>
    <d v="2026-07-10T00:00:00"/>
    <m/>
    <d v="2026-02-20T00:00:00"/>
    <m/>
    <m/>
    <m/>
    <n v="7506.2160000000003"/>
    <n v="7.6999999999999999E-2"/>
    <n v="84"/>
    <n v="133"/>
    <n v="7373.2160000000003"/>
    <m/>
    <m/>
    <m/>
    <m/>
    <m/>
    <m/>
    <n v="83321659.760000005"/>
  </r>
  <r>
    <n v="0"/>
    <n v="97"/>
    <s v="FABIND9INRDZI"/>
    <s v="SIEMENSLTD"/>
    <s v="I"/>
    <s v="FI2526008847"/>
    <d v="2026-02-24T00:00:00"/>
    <s v="INR"/>
    <x v="34"/>
    <d v="2026-06-24T00:00:00"/>
    <d v="2026-04-17T00:00:00"/>
    <d v="2026-07-14T00:00:00"/>
    <m/>
    <d v="2026-02-24T00:00:00"/>
    <m/>
    <m/>
    <m/>
    <n v="1191617.1000000001"/>
    <n v="7.6999999999999999E-2"/>
    <n v="88"/>
    <n v="22122"/>
    <n v="1169495.1000000001"/>
    <m/>
    <m/>
    <m/>
    <m/>
    <m/>
    <m/>
    <n v="82005981"/>
  </r>
  <r>
    <n v="0"/>
    <n v="98"/>
    <s v="FABIND9INRDZI"/>
    <s v="SIEMENSLTD"/>
    <s v="I"/>
    <s v="FI2526009296"/>
    <d v="2026-03-10T00:00:00"/>
    <s v="INR"/>
    <x v="35"/>
    <d v="2026-07-08T00:00:00"/>
    <d v="2026-04-17T00:00:00"/>
    <d v="2026-07-28T00:00:00"/>
    <m/>
    <d v="2026-03-10T00:00:00"/>
    <m/>
    <m/>
    <m/>
    <n v="494039.21399999998"/>
    <n v="7.6999999999999999E-2"/>
    <n v="102"/>
    <n v="10631"/>
    <n v="483408.21399999998"/>
    <m/>
    <m/>
    <m/>
    <m/>
    <m/>
    <m/>
    <n v="82781067.540000007"/>
  </r>
  <r>
    <n v="0"/>
    <n v="99"/>
    <s v="FABIND9INRDZI"/>
    <s v="SIEMENSLTD"/>
    <s v="I"/>
    <s v="FI2526009297"/>
    <d v="2026-03-10T00:00:00"/>
    <s v="INR"/>
    <x v="36"/>
    <d v="2026-07-08T00:00:00"/>
    <d v="2026-04-17T00:00:00"/>
    <d v="2026-07-28T00:00:00"/>
    <m/>
    <d v="2026-03-10T00:00:00"/>
    <m/>
    <m/>
    <m/>
    <n v="1019136.618"/>
    <n v="7.6999999999999999E-2"/>
    <n v="102"/>
    <n v="21930"/>
    <n v="997206.61800000002"/>
    <m/>
    <m/>
    <m/>
    <m/>
    <m/>
    <m/>
    <n v="82197625.980000004"/>
  </r>
  <r>
    <n v="0"/>
    <n v="100"/>
    <s v="FABIND9INRDZI"/>
    <s v="SIEMENSLTD"/>
    <s v="I"/>
    <s v="FI2526009375"/>
    <d v="2026-03-13T00:00:00"/>
    <s v="INR"/>
    <x v="37"/>
    <d v="2026-07-11T00:00:00"/>
    <d v="2026-04-17T00:00:00"/>
    <d v="2026-07-31T00:00:00"/>
    <m/>
    <d v="2026-03-13T00:00:00"/>
    <m/>
    <m/>
    <m/>
    <n v="1890353.628"/>
    <n v="7.6999999999999999E-2"/>
    <n v="105"/>
    <n v="41873"/>
    <n v="1848480.628"/>
    <m/>
    <m/>
    <m/>
    <m/>
    <m/>
    <m/>
    <n v="81229607.079999998"/>
  </r>
  <r>
    <n v="0"/>
    <n v="101"/>
    <s v="FABIND9INRDZI"/>
    <s v="SIEMENSLTD"/>
    <s v="I"/>
    <s v="FI2526009442"/>
    <d v="2026-03-16T00:00:00"/>
    <s v="INR"/>
    <x v="38"/>
    <d v="2026-07-14T00:00:00"/>
    <d v="2026-04-17T00:00:00"/>
    <d v="2026-08-03T00:00:00"/>
    <m/>
    <d v="2026-03-16T00:00:00"/>
    <m/>
    <m/>
    <m/>
    <n v="2660912.1540000001"/>
    <n v="7.6999999999999999E-2"/>
    <n v="108"/>
    <n v="60625"/>
    <n v="2600287.1540000001"/>
    <m/>
    <m/>
    <m/>
    <m/>
    <m/>
    <m/>
    <n v="80373430.939999998"/>
  </r>
  <r>
    <n v="0"/>
    <n v="102"/>
    <s v="FABIND9INRDZI"/>
    <s v="SIEMENSLTD"/>
    <s v="I"/>
    <s v="FI2526009688"/>
    <d v="2026-03-26T00:00:00"/>
    <s v="INR"/>
    <x v="39"/>
    <d v="2026-07-24T00:00:00"/>
    <d v="2026-04-17T00:00:00"/>
    <d v="2026-08-13T00:00:00"/>
    <m/>
    <d v="2026-03-26T00:00:00"/>
    <m/>
    <m/>
    <m/>
    <n v="405998.35200000001"/>
    <n v="7.6999999999999999E-2"/>
    <n v="118"/>
    <n v="10107"/>
    <n v="395891.35200000001"/>
    <m/>
    <m/>
    <m/>
    <m/>
    <m/>
    <m/>
    <n v="82878890.719999999"/>
  </r>
  <r>
    <n v="0"/>
    <n v="103"/>
    <s v="FABIND9INRDZI"/>
    <s v="SIEMENSLTD"/>
    <s v="I"/>
    <s v="FI2526009689"/>
    <d v="2026-03-26T00:00:00"/>
    <s v="INR"/>
    <x v="40"/>
    <d v="2026-07-24T00:00:00"/>
    <d v="2026-04-17T00:00:00"/>
    <d v="2026-08-13T00:00:00"/>
    <m/>
    <d v="2026-03-26T00:00:00"/>
    <m/>
    <m/>
    <m/>
    <n v="140228.60399999999"/>
    <n v="7.6999999999999999E-2"/>
    <n v="118"/>
    <n v="3491"/>
    <n v="136737.60399999999"/>
    <m/>
    <m/>
    <m/>
    <m/>
    <m/>
    <m/>
    <n v="83174190.439999998"/>
  </r>
  <r>
    <n v="0"/>
    <n v="104"/>
    <s v="FABIND9INRDZI"/>
    <s v="SIEMENSLTD"/>
    <s v="I"/>
    <s v="FI2526009710"/>
    <d v="2026-03-30T00:00:00"/>
    <s v="INR"/>
    <x v="41"/>
    <d v="2026-07-28T00:00:00"/>
    <d v="2026-04-17T00:00:00"/>
    <d v="2026-08-17T00:00:00"/>
    <m/>
    <d v="2026-03-30T00:00:00"/>
    <m/>
    <m/>
    <m/>
    <n v="1463106.78"/>
    <n v="7.6999999999999999E-2"/>
    <n v="122"/>
    <n v="37656"/>
    <n v="1425450.78"/>
    <m/>
    <m/>
    <m/>
    <m/>
    <m/>
    <m/>
    <n v="81704325.799999997"/>
  </r>
  <r>
    <n v="0"/>
    <n v="105"/>
    <s v="FABIND9INRDZI"/>
    <s v="SIEMENSLTD"/>
    <s v="I"/>
    <s v="FI2526009711"/>
    <d v="2026-03-30T00:00:00"/>
    <s v="INR"/>
    <x v="42"/>
    <d v="2026-07-28T00:00:00"/>
    <d v="2026-04-17T00:00:00"/>
    <d v="2026-08-17T00:00:00"/>
    <m/>
    <d v="2026-03-30T00:00:00"/>
    <m/>
    <m/>
    <m/>
    <n v="1464331.2660000001"/>
    <n v="7.6999999999999999E-2"/>
    <n v="122"/>
    <n v="37687"/>
    <n v="1426644.2660000001"/>
    <m/>
    <m/>
    <m/>
    <m/>
    <m/>
    <m/>
    <n v="81702965.260000005"/>
  </r>
  <r>
    <n v="1"/>
    <n v="106"/>
    <s v="FABIND9INRDZI"/>
    <s v="SIEMENSLTD"/>
    <s v="I"/>
    <s v="FI2627000103"/>
    <d v="2026-04-17T00:00:00"/>
    <s v="INR"/>
    <x v="43"/>
    <d v="2026-08-15T00:00:00"/>
    <d v="2026-04-23T00:00:00"/>
    <d v="2026-09-04T00:00:00"/>
    <n v="91749"/>
    <d v="2026-04-17T00:00:00"/>
    <m/>
    <m/>
    <s v="C1B1124001756002-Suprt Plate Bsbr 2 Bsbr"/>
    <n v="5004.1440000000002"/>
    <n v="7.6999999999999999E-2"/>
    <n v="134"/>
    <n v="141"/>
    <n v="4863.1440000000002"/>
    <m/>
    <m/>
    <m/>
    <m/>
    <m/>
    <m/>
    <n v="83324439.840000004"/>
  </r>
  <r>
    <n v="1"/>
    <n v="107"/>
    <s v="FABIND9INRDZI"/>
    <s v="SIEMENSLTD"/>
    <s v="I"/>
    <s v="FI2627000138"/>
    <d v="2026-04-21T00:00:00"/>
    <s v="INR"/>
    <x v="44"/>
    <d v="2026-08-19T00:00:00"/>
    <d v="2026-04-23T00:00:00"/>
    <d v="2026-09-08T00:00:00"/>
    <s v="NSK/7547"/>
    <d v="2026-04-21T00:00:00"/>
    <m/>
    <m/>
    <s v="PTD5903864004-Struct ISA 65X65X6"/>
    <n v="321416.424"/>
    <n v="7.6999999999999999E-2"/>
    <n v="138"/>
    <n v="9357"/>
    <n v="312059.424"/>
    <m/>
    <m/>
    <m/>
    <m/>
    <m/>
    <m/>
    <n v="82972870.640000001"/>
  </r>
  <r>
    <n v="1"/>
    <n v="108"/>
    <s v="FABIND9INRDZI"/>
    <s v="SIEMENSLTD"/>
    <s v="I"/>
    <s v="FI2627000141"/>
    <d v="2026-04-21T00:00:00"/>
    <s v="INR"/>
    <x v="45"/>
    <d v="2026-08-19T00:00:00"/>
    <d v="2026-04-23T00:00:00"/>
    <d v="2026-09-08T00:00:00"/>
    <s v="NSK/7546"/>
    <d v="2026-04-21T00:00:00"/>
    <m/>
    <m/>
    <s v="PTD5903894001-Struct ISA 7575X8-3230L"/>
    <n v="376320.76199999999"/>
    <n v="7.6999999999999999E-2"/>
    <n v="138"/>
    <n v="10956"/>
    <n v="365364.76199999999"/>
    <m/>
    <m/>
    <m/>
    <m/>
    <m/>
    <m/>
    <n v="82911865.819999993"/>
  </r>
  <r>
    <n v="1"/>
    <n v="109"/>
    <s v="FABIND9INRDZI"/>
    <s v="SIEMENSLTD"/>
    <s v="I"/>
    <s v="FI2627000145"/>
    <d v="2026-04-21T00:00:00"/>
    <s v="INR"/>
    <x v="46"/>
    <d v="2026-08-19T00:00:00"/>
    <d v="2026-04-23T00:00:00"/>
    <d v="2026-09-08T00:00:00"/>
    <s v="NSK/7545"/>
    <d v="2026-04-21T00:00:00"/>
    <m/>
    <m/>
    <s v="PTD5903754003-FB M39 X1080"/>
    <n v="431225.10000000003"/>
    <n v="7.6999999999999999E-2"/>
    <n v="138"/>
    <n v="12554"/>
    <n v="418671.10000000003"/>
    <m/>
    <m/>
    <m/>
    <m/>
    <m/>
    <m/>
    <n v="82850861"/>
  </r>
  <r>
    <n v="1"/>
    <n v="110"/>
    <s v="FABIND9INRDZI"/>
    <s v="SIEMENSLTD"/>
    <s v="I"/>
    <s v="FI2627000147"/>
    <d v="2026-04-21T00:00:00"/>
    <s v="INR"/>
    <x v="47"/>
    <d v="2026-08-19T00:00:00"/>
    <d v="2026-04-23T00:00:00"/>
    <d v="2026-09-08T00:00:00"/>
    <s v="NSK/7548"/>
    <d v="2026-04-21T00:00:00"/>
    <m/>
    <m/>
    <s v="PTD5903754002 FB M36X1080 Non-PG 420 KV"/>
    <n v="623579.85"/>
    <n v="7.6999999999999999E-2"/>
    <n v="138"/>
    <n v="18154"/>
    <n v="605425.85"/>
    <m/>
    <m/>
    <m/>
    <m/>
    <m/>
    <m/>
    <n v="82637133.5"/>
  </r>
  <r>
    <n v="2"/>
    <n v="111"/>
    <s v="FABIND9INRDZI"/>
    <s v="SIEMENSLTD"/>
    <s v="I"/>
    <s v="FI2627000162"/>
    <d v="2026-04-22T00:00:00"/>
    <s v="INR"/>
    <x v="40"/>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s v="SIEMENSLTD"/>
    <s v="I"/>
    <s v="FI2627000163"/>
    <d v="2026-04-22T00:00:00"/>
    <s v="INR"/>
    <x v="48"/>
    <d v="2026-08-20T00:00:00"/>
    <d v="2026-04-23T00:00:00"/>
    <d v="2026-09-09T00:00:00"/>
    <s v="NSK/7582"/>
    <d v="2026-04-22T00:00:00"/>
    <m/>
    <m/>
    <s v="PTD5903542001-Platform wt Ladder 1450 Ht"/>
    <n v="207325.764"/>
    <n v="7.6999999999999999E-2"/>
    <n v="139"/>
    <n v="6079"/>
    <n v="201246.764"/>
    <m/>
    <m/>
    <m/>
    <m/>
    <m/>
    <m/>
    <n v="83099638.040000007"/>
  </r>
  <r>
    <n v="3"/>
    <n v="113"/>
    <s v="FABIND9INRDZI"/>
    <s v="SIEMENSLTD"/>
    <s v="I"/>
    <s v="FI2627000166"/>
    <d v="2026-04-23T00:00:00"/>
    <s v="INR"/>
    <x v="49"/>
    <d v="2026-08-21T00:00:00"/>
    <d v="2026-04-23T00:00:00"/>
    <d v="2026-09-10T00:00:00"/>
    <s v="NSK/7583"/>
    <d v="2026-04-23T00:00:00"/>
    <m/>
    <m/>
    <s v="PTD5903542001-Platform wt Ladder 1450 Ht"/>
    <n v="116857.17"/>
    <n v="7.6999999999999999E-2"/>
    <n v="140"/>
    <n v="3451"/>
    <n v="113406.17"/>
    <m/>
    <m/>
    <m/>
    <m/>
    <m/>
    <m/>
    <n v="83200158.700000003"/>
  </r>
  <r>
    <n v="3"/>
    <n v="114"/>
    <s v="FABIND9INRDZI"/>
    <s v="SIEMENSLTD"/>
    <s v="I"/>
    <s v="FI2627000174"/>
    <d v="2026-04-23T00:00:00"/>
    <s v="INR"/>
    <x v="50"/>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Invoice Disc Tranch"/>
    <s v="No."/>
    <s v="Account Code"/>
    <x v="0"/>
    <s v="Instrument Type"/>
    <s v="Instrument Number"/>
    <s v="Instrument Date"/>
    <s v="Instrument Currency"/>
    <s v="Instrument Amount"/>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x v="1"/>
    <s v="I"/>
    <s v="FI2627000000"/>
    <d v="2026-04-02T00:00:00"/>
    <s v="INR"/>
    <n v="561855.81999999995"/>
    <d v="2026-05-12T00:00:00"/>
    <d v="2026-04-17T00:00:00"/>
    <d v="2026-06-01T00:00:00"/>
    <n v="10001"/>
    <d v="2026-04-02T00:00:00"/>
    <m/>
    <m/>
    <s v="NBT 40Mtr Tower"/>
    <n v="505670.23799999995"/>
    <n v="7.6999999999999999E-2"/>
    <n v="45"/>
    <n v="4800"/>
    <n v="500870.23799999995"/>
    <m/>
    <m/>
    <m/>
    <m/>
    <n v="46174"/>
    <n v="4925227"/>
    <n v="274438144.18000001"/>
  </r>
  <r>
    <n v="1"/>
    <n v="2"/>
    <s v="FABIND9INRDZI"/>
    <x v="1"/>
    <s v="I"/>
    <s v="FI2627000001"/>
    <d v="2026-04-02T00:00:00"/>
    <s v="INR"/>
    <n v="561855.81999999995"/>
    <d v="2026-05-12T00:00:00"/>
    <d v="2026-04-17T00:00:00"/>
    <d v="2026-06-01T00:00:00"/>
    <n v="10003"/>
    <d v="2026-04-02T00:00:00"/>
    <m/>
    <m/>
    <s v="NBT 40Mtr Tower"/>
    <n v="505670.23799999995"/>
    <n v="7.6999999999999999E-2"/>
    <n v="45"/>
    <n v="4800"/>
    <n v="500870.23799999995"/>
    <m/>
    <m/>
    <m/>
    <m/>
    <m/>
    <m/>
    <n v="274438144.18000001"/>
  </r>
  <r>
    <n v="1"/>
    <n v="3"/>
    <s v="FABIND9INRDZI"/>
    <x v="1"/>
    <s v="I"/>
    <s v="FI2627000002"/>
    <d v="2026-04-02T00:00:00"/>
    <s v="INR"/>
    <n v="561855.81999999995"/>
    <d v="2026-05-12T00:00:00"/>
    <d v="2026-04-17T00:00:00"/>
    <d v="2026-06-01T00:00:00"/>
    <n v="10002"/>
    <d v="2026-04-02T00:00:00"/>
    <m/>
    <m/>
    <s v="NBT 40Mtr Tower"/>
    <n v="505670.23799999995"/>
    <n v="7.6999999999999999E-2"/>
    <n v="45"/>
    <n v="4800"/>
    <n v="500870.23799999995"/>
    <m/>
    <m/>
    <m/>
    <m/>
    <m/>
    <m/>
    <n v="274438144.18000001"/>
  </r>
  <r>
    <n v="1"/>
    <n v="4"/>
    <s v="FABIND9INRDZI"/>
    <x v="1"/>
    <s v="I"/>
    <s v="FI2627000003"/>
    <d v="2026-04-02T00:00:00"/>
    <s v="INR"/>
    <n v="561855.81999999995"/>
    <d v="2026-05-12T00:00:00"/>
    <d v="2026-04-17T00:00:00"/>
    <d v="2026-06-01T00:00:00"/>
    <n v="10004"/>
    <d v="2026-04-02T00:00:00"/>
    <m/>
    <m/>
    <s v="NBT 40Mtr Tower"/>
    <n v="505670.23799999995"/>
    <n v="7.6999999999999999E-2"/>
    <n v="45"/>
    <n v="4800"/>
    <n v="500870.23799999995"/>
    <m/>
    <m/>
    <m/>
    <m/>
    <m/>
    <m/>
    <n v="274438144.18000001"/>
  </r>
  <r>
    <n v="1"/>
    <n v="5"/>
    <s v="FABIND9INRDZI"/>
    <x v="1"/>
    <s v="I"/>
    <s v="FI2627000005"/>
    <d v="2026-04-03T00:00:00"/>
    <s v="INR"/>
    <n v="561855.81999999995"/>
    <d v="2026-05-13T00:00:00"/>
    <d v="2026-04-17T00:00:00"/>
    <d v="2026-06-02T00:00:00"/>
    <n v="10005"/>
    <d v="2026-04-03T00:00:00"/>
    <m/>
    <m/>
    <s v="NBT 40Mtr Tower"/>
    <n v="505670.23799999995"/>
    <n v="7.6999999999999999E-2"/>
    <n v="46"/>
    <n v="4907"/>
    <n v="500763.23799999995"/>
    <m/>
    <m/>
    <m/>
    <m/>
    <m/>
    <m/>
    <n v="274438144.18000001"/>
  </r>
  <r>
    <n v="1"/>
    <n v="6"/>
    <s v="FABIND9INRDZI"/>
    <x v="1"/>
    <s v="I"/>
    <s v="FI2627000006"/>
    <d v="2026-04-03T00:00:00"/>
    <s v="INR"/>
    <n v="561855.81999999995"/>
    <d v="2026-05-13T00:00:00"/>
    <d v="2026-04-17T00:00:00"/>
    <d v="2026-06-02T00:00:00"/>
    <n v="10006"/>
    <d v="2026-04-03T00:00:00"/>
    <m/>
    <m/>
    <s v="NBT 40Mtr Tower"/>
    <n v="505670.23799999995"/>
    <n v="7.6999999999999999E-2"/>
    <n v="46"/>
    <n v="4907"/>
    <n v="500763.23799999995"/>
    <m/>
    <m/>
    <m/>
    <m/>
    <m/>
    <m/>
    <n v="274438144.18000001"/>
  </r>
  <r>
    <n v="1"/>
    <n v="7"/>
    <s v="FABIND9INRDZI"/>
    <x v="1"/>
    <s v="I"/>
    <s v="FI2627000016"/>
    <d v="2026-04-03T00:00:00"/>
    <s v="INR"/>
    <n v="442595.58"/>
    <d v="2026-05-13T00:00:00"/>
    <d v="2026-04-17T00:00:00"/>
    <d v="2026-06-02T00:00:00"/>
    <n v="10007"/>
    <d v="2026-04-03T00:00:00"/>
    <m/>
    <m/>
    <s v="TOWER GBT 3Legged VM 30M 170KMPH"/>
    <n v="398336.022"/>
    <n v="7.6999999999999999E-2"/>
    <n v="46"/>
    <n v="3865"/>
    <n v="394471.022"/>
    <m/>
    <m/>
    <m/>
    <m/>
    <m/>
    <m/>
    <n v="274557404.42000002"/>
  </r>
  <r>
    <n v="1"/>
    <n v="8"/>
    <s v="FABIND9INRDZI"/>
    <x v="1"/>
    <s v="I"/>
    <s v="FI2627000027"/>
    <d v="2026-04-05T00:00:00"/>
    <s v="INR"/>
    <n v="752314.9"/>
    <d v="2026-05-15T00:00:00"/>
    <d v="2026-04-17T00:00:00"/>
    <d v="2026-06-04T00:00:00"/>
    <n v="78287"/>
    <d v="2026-04-05T00:00:00"/>
    <m/>
    <m/>
    <s v="BIL - Tower GBT 40M 200 KMPH"/>
    <n v="677083.41"/>
    <n v="7.6999999999999999E-2"/>
    <n v="48"/>
    <n v="6856"/>
    <n v="670227.41"/>
    <m/>
    <m/>
    <m/>
    <m/>
    <m/>
    <m/>
    <n v="274247685.10000002"/>
  </r>
  <r>
    <n v="1"/>
    <n v="9"/>
    <s v="FABIND9INRDZI"/>
    <x v="1"/>
    <s v="I"/>
    <s v="FI2627000030"/>
    <d v="2026-04-05T00:00:00"/>
    <s v="INR"/>
    <n v="689850.92"/>
    <d v="2026-05-15T00:00:00"/>
    <d v="2026-04-17T00:00:00"/>
    <d v="2026-06-04T00:00:00"/>
    <n v="10010"/>
    <d v="2026-04-05T00:00:00"/>
    <m/>
    <m/>
    <s v="INDUS SOLAR STRUCTURE(2PX5-30/20 DEGREE)"/>
    <n v="620865.8280000001"/>
    <n v="7.6999999999999999E-2"/>
    <n v="48"/>
    <n v="6287"/>
    <n v="614578.8280000001"/>
    <m/>
    <m/>
    <m/>
    <m/>
    <m/>
    <m/>
    <n v="274310149.07999998"/>
  </r>
  <r>
    <n v="1"/>
    <n v="10"/>
    <s v="FABIND9INRDZI"/>
    <x v="1"/>
    <s v="I"/>
    <s v="FI2627000031"/>
    <d v="2026-04-05T00:00:00"/>
    <s v="INR"/>
    <n v="689850.92"/>
    <d v="2026-05-15T00:00:00"/>
    <d v="2026-04-17T00:00:00"/>
    <d v="2026-06-04T00:00:00"/>
    <n v="10011"/>
    <d v="2026-04-05T00:00:00"/>
    <m/>
    <m/>
    <s v="INDUS SOLAR STRUCTURE(2PX5-30/20 DEGREE)"/>
    <n v="620865.8280000001"/>
    <n v="7.6999999999999999E-2"/>
    <n v="48"/>
    <n v="6287"/>
    <n v="614578.8280000001"/>
    <m/>
    <m/>
    <m/>
    <m/>
    <m/>
    <m/>
    <n v="274310149.07999998"/>
  </r>
  <r>
    <n v="1"/>
    <n v="11"/>
    <s v="FABIND9INRDZI"/>
    <x v="1"/>
    <s v="I"/>
    <s v="FI2627000032"/>
    <d v="2026-04-05T00:00:00"/>
    <s v="INR"/>
    <n v="232106"/>
    <d v="2026-05-15T00:00:00"/>
    <d v="2026-04-17T00:00:00"/>
    <d v="2026-06-04T00:00:00"/>
    <n v="10014"/>
    <d v="2026-04-05T00:00:00"/>
    <m/>
    <m/>
    <s v="CIP RITA 15MTR"/>
    <n v="208895.4"/>
    <n v="7.6999999999999999E-2"/>
    <n v="48"/>
    <n v="2115"/>
    <n v="206780.4"/>
    <m/>
    <m/>
    <m/>
    <m/>
    <m/>
    <m/>
    <n v="274767894"/>
  </r>
  <r>
    <n v="2"/>
    <n v="12"/>
    <s v="FABIND9INRDZI"/>
    <x v="1"/>
    <s v="I"/>
    <s v="FI2627000043"/>
    <d v="2026-04-06T00:00:00"/>
    <s v="INR"/>
    <n v="647363.34"/>
    <d v="2026-05-16T00:00:00"/>
    <d v="2026-04-17T00:00:00"/>
    <d v="2026-06-05T00:00:00"/>
    <n v="10016"/>
    <d v="2026-04-06T00:00:00"/>
    <m/>
    <m/>
    <s v="TowerGBT-3 Leg Tubular VT30M 200 KMPH"/>
    <n v="582627.00599999994"/>
    <n v="7.6999999999999999E-2"/>
    <n v="49"/>
    <n v="6023"/>
    <n v="576604.00599999994"/>
    <m/>
    <m/>
    <m/>
    <m/>
    <m/>
    <m/>
    <n v="274352636.66000003"/>
  </r>
  <r>
    <n v="2"/>
    <n v="13"/>
    <s v="FABIND9INRDZI"/>
    <x v="1"/>
    <s v="I"/>
    <s v="FI2627000044"/>
    <d v="2026-04-06T00:00:00"/>
    <s v="INR"/>
    <n v="647363.34"/>
    <d v="2026-05-16T00:00:00"/>
    <d v="2026-04-17T00:00:00"/>
    <d v="2026-06-05T00:00:00"/>
    <n v="10017"/>
    <d v="2026-04-06T00:00:00"/>
    <m/>
    <m/>
    <s v="TowerGBT-3 Leg Tubular VT30M 200 KMPH"/>
    <n v="582627.00599999994"/>
    <n v="7.6999999999999999E-2"/>
    <n v="49"/>
    <n v="6023"/>
    <n v="576604.00599999994"/>
    <m/>
    <m/>
    <m/>
    <m/>
    <m/>
    <m/>
    <n v="274352636.66000003"/>
  </r>
  <r>
    <n v="2"/>
    <n v="14"/>
    <s v="FABIND9INRDZI"/>
    <x v="1"/>
    <s v="I"/>
    <s v="FI2627000045"/>
    <d v="2026-04-06T00:00:00"/>
    <s v="INR"/>
    <n v="647363.34"/>
    <d v="2026-05-16T00:00:00"/>
    <d v="2026-04-17T00:00:00"/>
    <d v="2026-06-05T00:00:00"/>
    <n v="10018"/>
    <d v="2026-04-06T00:00:00"/>
    <m/>
    <m/>
    <s v="TowerGBT-3 Leg Tubular VT30M 200 KMPH"/>
    <n v="582627.00599999994"/>
    <n v="7.6999999999999999E-2"/>
    <n v="49"/>
    <n v="6023"/>
    <n v="576604.00599999994"/>
    <m/>
    <m/>
    <m/>
    <m/>
    <m/>
    <m/>
    <n v="274352636.66000003"/>
  </r>
  <r>
    <n v="2"/>
    <n v="15"/>
    <s v="FABIND9INRDZI"/>
    <x v="1"/>
    <s v="I"/>
    <s v="FI2627000047"/>
    <d v="2026-04-06T00:00:00"/>
    <s v="INR"/>
    <n v="647363.34"/>
    <d v="2026-05-16T00:00:00"/>
    <d v="2026-04-17T00:00:00"/>
    <d v="2026-06-05T00:00:00"/>
    <n v="10019"/>
    <d v="2026-04-06T00:00:00"/>
    <m/>
    <m/>
    <s v="TowerGBT-3 Leg Tubular VT30M 200 KMPH"/>
    <n v="582627.00599999994"/>
    <n v="7.6999999999999999E-2"/>
    <n v="49"/>
    <n v="6023"/>
    <n v="576604.00599999994"/>
    <m/>
    <m/>
    <m/>
    <m/>
    <m/>
    <m/>
    <n v="274352636.66000003"/>
  </r>
  <r>
    <n v="3"/>
    <n v="16"/>
    <s v="FABIND9INRDZI"/>
    <x v="1"/>
    <s v="I"/>
    <s v="FI2627000052"/>
    <d v="2026-04-08T00:00:00"/>
    <s v="INR"/>
    <n v="647363.34"/>
    <d v="2026-05-18T00:00:00"/>
    <d v="2026-04-17T00:00:00"/>
    <d v="2026-06-07T00:00:00"/>
    <n v="10020"/>
    <d v="2026-04-08T00:00:00"/>
    <m/>
    <m/>
    <s v="TowerGBT-3 Leg Tubular VT30M 200 KMPH"/>
    <n v="582627.00599999994"/>
    <n v="7.6999999999999999E-2"/>
    <n v="51"/>
    <n v="6268"/>
    <n v="576359.00599999994"/>
    <m/>
    <m/>
    <m/>
    <m/>
    <m/>
    <m/>
    <n v="274352636.66000003"/>
  </r>
  <r>
    <n v="3"/>
    <n v="17"/>
    <s v="FABIND9INRDZI"/>
    <x v="1"/>
    <s v="I"/>
    <s v="FI2627000063"/>
    <d v="2026-04-10T00:00:00"/>
    <s v="INR"/>
    <n v="774998.04"/>
    <d v="2026-05-20T00:00:00"/>
    <d v="2026-04-17T00:00:00"/>
    <d v="2026-06-09T00:00:00"/>
    <n v="778"/>
    <d v="2026-04-10T00:00:00"/>
    <m/>
    <m/>
    <s v="BIL - Tower GBT 40M 200 KMPH"/>
    <n v="697498.23600000003"/>
    <n v="7.6999999999999999E-2"/>
    <n v="53"/>
    <n v="7799"/>
    <n v="689699.23600000003"/>
    <m/>
    <m/>
    <m/>
    <m/>
    <m/>
    <m/>
    <n v="274225001.95999998"/>
  </r>
  <r>
    <n v="3"/>
    <n v="18"/>
    <s v="FABIND9INRDZI"/>
    <x v="1"/>
    <s v="I"/>
    <s v="FI2627000064"/>
    <d v="2026-04-10T00:00:00"/>
    <s v="INR"/>
    <n v="774998.04"/>
    <d v="2026-05-20T00:00:00"/>
    <d v="2026-04-17T00:00:00"/>
    <d v="2026-06-09T00:00:00"/>
    <n v="10024"/>
    <d v="2026-04-10T00:00:00"/>
    <m/>
    <m/>
    <s v="BIL - Tower GBT 40M 200 KMPH"/>
    <n v="697498.23600000003"/>
    <n v="7.6999999999999999E-2"/>
    <n v="53"/>
    <n v="7799"/>
    <n v="689699.23600000003"/>
    <m/>
    <m/>
    <m/>
    <m/>
    <m/>
    <m/>
    <n v="274225001.95999998"/>
  </r>
  <r>
    <n v="3"/>
    <n v="19"/>
    <s v="FABIND9INRDZI"/>
    <x v="1"/>
    <s v="I"/>
    <s v="FI2627000065"/>
    <d v="2026-04-10T00:00:00"/>
    <s v="INR"/>
    <n v="774998.04"/>
    <d v="2026-05-20T00:00:00"/>
    <d v="2026-04-17T00:00:00"/>
    <d v="2026-06-09T00:00:00"/>
    <n v="779"/>
    <d v="2026-04-10T00:00:00"/>
    <m/>
    <m/>
    <s v="BIL - Tower GBT 40M 200 KMPH"/>
    <n v="697498.23600000003"/>
    <n v="7.6999999999999999E-2"/>
    <n v="53"/>
    <n v="7799"/>
    <n v="689699.23600000003"/>
    <m/>
    <m/>
    <m/>
    <m/>
    <m/>
    <m/>
    <n v="274225001.95999998"/>
  </r>
  <r>
    <n v="3"/>
    <n v="20"/>
    <s v="FABIND9INRDZI"/>
    <x v="1"/>
    <s v="I"/>
    <s v="FI2627000066"/>
    <d v="2026-04-10T00:00:00"/>
    <s v="INR"/>
    <n v="774998.04"/>
    <d v="2026-05-20T00:00:00"/>
    <d v="2026-04-17T00:00:00"/>
    <d v="2026-06-09T00:00:00"/>
    <n v="10025"/>
    <d v="2026-04-10T00:00:00"/>
    <m/>
    <m/>
    <s v="BIL - Tower GBT 40M 200 KMPH"/>
    <n v="697498.23600000003"/>
    <n v="7.6999999999999999E-2"/>
    <n v="53"/>
    <n v="7799"/>
    <n v="689699.23600000003"/>
    <m/>
    <m/>
    <m/>
    <m/>
    <m/>
    <m/>
    <n v="274225001.95999998"/>
  </r>
  <r>
    <n v="3"/>
    <n v="21"/>
    <s v="FABIND9INRDZI"/>
    <x v="1"/>
    <s v="I"/>
    <s v="FI2627000067"/>
    <d v="2026-04-10T00:00:00"/>
    <s v="INR"/>
    <n v="774998.04"/>
    <d v="2026-05-20T00:00:00"/>
    <d v="2026-04-17T00:00:00"/>
    <d v="2026-06-09T00:00:00"/>
    <n v="10026"/>
    <d v="2026-04-10T00:00:00"/>
    <m/>
    <m/>
    <s v="BIL - Tower GBT 40M 200 KMPH"/>
    <n v="697498.23600000003"/>
    <n v="7.6999999999999999E-2"/>
    <n v="53"/>
    <n v="7799"/>
    <n v="689699.23600000003"/>
    <m/>
    <m/>
    <m/>
    <m/>
    <m/>
    <m/>
    <n v="274225001.95999998"/>
  </r>
  <r>
    <n v="3"/>
    <n v="22"/>
    <s v="FABIND9INRDZI"/>
    <x v="1"/>
    <s v="I"/>
    <s v="FI2627000069"/>
    <d v="2026-04-12T00:00:00"/>
    <s v="INR"/>
    <n v="647363.34"/>
    <d v="2026-05-22T00:00:00"/>
    <d v="2026-04-17T00:00:00"/>
    <d v="2026-06-11T00:00:00"/>
    <n v="780"/>
    <d v="2026-04-12T00:00:00"/>
    <m/>
    <m/>
    <s v="TowerGBT-3 Leg Tubular VT30M 200 KMPH"/>
    <n v="582627.00599999994"/>
    <n v="7.6999999999999999E-2"/>
    <n v="55"/>
    <n v="6760"/>
    <n v="575867.00599999994"/>
    <m/>
    <m/>
    <m/>
    <m/>
    <m/>
    <m/>
    <n v="274352636.66000003"/>
  </r>
  <r>
    <n v="3"/>
    <n v="23"/>
    <s v="FABIND9INRDZI"/>
    <x v="1"/>
    <s v="I"/>
    <s v="FI2627000070"/>
    <d v="2026-04-12T00:00:00"/>
    <s v="INR"/>
    <n v="147186.12"/>
    <d v="2026-05-22T00:00:00"/>
    <d v="2026-04-17T00:00:00"/>
    <d v="2026-06-11T00:00:00"/>
    <n v="781"/>
    <d v="2026-04-12T00:00:00"/>
    <m/>
    <m/>
    <s v="Cast In part GBT-3L TBLR VT30M 200KMPH"/>
    <n v="132467.508"/>
    <n v="7.6999999999999999E-2"/>
    <n v="55"/>
    <n v="1537"/>
    <n v="130930.508"/>
    <m/>
    <m/>
    <m/>
    <m/>
    <m/>
    <m/>
    <n v="274852813.88"/>
  </r>
  <r>
    <n v="3"/>
    <n v="24"/>
    <s v="FABIND9INRDZI"/>
    <x v="1"/>
    <s v="I"/>
    <s v="FI2627000071"/>
    <d v="2026-04-12T00:00:00"/>
    <s v="INR"/>
    <n v="774998.04"/>
    <d v="2026-05-22T00:00:00"/>
    <d v="2026-04-17T00:00:00"/>
    <d v="2026-06-11T00:00:00"/>
    <n v="10030"/>
    <d v="2026-04-12T00:00:00"/>
    <m/>
    <m/>
    <s v="BIL - Tower GBT 40M 200 KMPH"/>
    <n v="697498.23600000003"/>
    <n v="7.6999999999999999E-2"/>
    <n v="55"/>
    <n v="8093"/>
    <n v="689405.23600000003"/>
    <m/>
    <m/>
    <m/>
    <m/>
    <m/>
    <m/>
    <n v="274225001.95999998"/>
  </r>
  <r>
    <n v="3"/>
    <n v="25"/>
    <s v="FABIND9INRDZI"/>
    <x v="1"/>
    <s v="I"/>
    <s v="FI2627000072"/>
    <d v="2026-04-12T00:00:00"/>
    <s v="INR"/>
    <n v="774998.04"/>
    <d v="2026-05-22T00:00:00"/>
    <d v="2026-04-17T00:00:00"/>
    <d v="2026-06-11T00:00:00"/>
    <n v="10031"/>
    <d v="2026-04-12T00:00:00"/>
    <m/>
    <m/>
    <s v="BIL - Tower GBT 40M 200 KMPH"/>
    <n v="697498.23600000003"/>
    <n v="7.6999999999999999E-2"/>
    <n v="55"/>
    <n v="8093"/>
    <n v="689405.23600000003"/>
    <m/>
    <m/>
    <m/>
    <m/>
    <m/>
    <m/>
    <n v="274225001.95999998"/>
  </r>
  <r>
    <n v="3"/>
    <n v="26"/>
    <s v="FABIND9INRDZI"/>
    <x v="1"/>
    <s v="I"/>
    <s v="FI2627000077"/>
    <d v="2026-04-13T00:00:00"/>
    <s v="INR"/>
    <n v="774998.04"/>
    <d v="2026-05-23T00:00:00"/>
    <d v="2026-04-17T00:00:00"/>
    <d v="2026-06-12T00:00:00"/>
    <n v="78501"/>
    <d v="2026-04-13T00:00:00"/>
    <m/>
    <m/>
    <s v="BIL - Tower GBT 40M 200 KMPH"/>
    <n v="697498.23600000003"/>
    <n v="7.6999999999999999E-2"/>
    <n v="56"/>
    <n v="8240"/>
    <n v="689258.23600000003"/>
    <m/>
    <m/>
    <m/>
    <m/>
    <m/>
    <m/>
    <n v="274225001.95999998"/>
  </r>
  <r>
    <n v="3"/>
    <n v="27"/>
    <s v="FABIND9INRDZI"/>
    <x v="1"/>
    <s v="I"/>
    <s v="FI2627000078"/>
    <d v="2026-04-13T00:00:00"/>
    <s v="INR"/>
    <n v="774998.04"/>
    <d v="2026-05-23T00:00:00"/>
    <d v="2026-04-17T00:00:00"/>
    <d v="2026-06-12T00:00:00"/>
    <n v="78502"/>
    <d v="2026-04-13T00:00:00"/>
    <m/>
    <m/>
    <s v="BIL - Tower GBT 40M 200 KMPH"/>
    <n v="697498.23600000003"/>
    <n v="7.6999999999999999E-2"/>
    <n v="56"/>
    <n v="8240"/>
    <n v="689258.23600000003"/>
    <m/>
    <m/>
    <m/>
    <m/>
    <m/>
    <m/>
    <n v="274225001.95999998"/>
  </r>
  <r>
    <n v="3"/>
    <n v="28"/>
    <s v="FABIND9INRDZI"/>
    <x v="1"/>
    <s v="I"/>
    <s v="FI2627000079"/>
    <d v="2026-04-13T00:00:00"/>
    <s v="INR"/>
    <n v="774998.04"/>
    <d v="2026-05-23T00:00:00"/>
    <d v="2026-04-17T00:00:00"/>
    <d v="2026-06-12T00:00:00"/>
    <n v="78503"/>
    <d v="2026-04-13T00:00:00"/>
    <m/>
    <m/>
    <s v="BIL - Tower GBT 40M 200 KMPH"/>
    <n v="697498.23600000003"/>
    <n v="7.6999999999999999E-2"/>
    <n v="56"/>
    <n v="8240"/>
    <n v="689258.23600000003"/>
    <m/>
    <m/>
    <m/>
    <m/>
    <m/>
    <m/>
    <n v="274225001.95999998"/>
  </r>
  <r>
    <n v="4"/>
    <n v="29"/>
    <s v="FABIND9INRDZI"/>
    <x v="1"/>
    <s v="I"/>
    <s v="FI2627000084"/>
    <d v="2026-04-15T00:00:00"/>
    <s v="INR"/>
    <n v="661895.04"/>
    <d v="2026-05-25T00:00:00"/>
    <d v="2026-04-20T00:00:00"/>
    <d v="2026-06-14T00:00:00"/>
    <n v="78510"/>
    <d v="2026-04-15T00:00:00"/>
    <m/>
    <m/>
    <s v="TowerGBT-3 Leg Tubular VT30M 200 KMPH"/>
    <n v="595705.53600000008"/>
    <n v="7.6999999999999999E-2"/>
    <n v="55"/>
    <n v="6912"/>
    <n v="588793.53600000008"/>
    <m/>
    <m/>
    <m/>
    <m/>
    <m/>
    <m/>
    <n v="274338104.95999998"/>
  </r>
  <r>
    <n v="4"/>
    <n v="30"/>
    <s v="FABIND9INRDZI"/>
    <x v="1"/>
    <s v="I"/>
    <s v="FI2627000085"/>
    <d v="2026-04-15T00:00:00"/>
    <s v="INR"/>
    <n v="661895.04"/>
    <d v="2026-05-25T00:00:00"/>
    <d v="2026-04-20T00:00:00"/>
    <d v="2026-06-14T00:00:00"/>
    <n v="78511"/>
    <d v="2026-04-15T00:00:00"/>
    <m/>
    <m/>
    <s v="TowerGBT-3 Leg Tubular VT30M 200 KMPH"/>
    <n v="595705.53600000008"/>
    <n v="7.6999999999999999E-2"/>
    <n v="55"/>
    <n v="6912"/>
    <n v="588793.53600000008"/>
    <m/>
    <m/>
    <m/>
    <m/>
    <m/>
    <m/>
    <n v="274338104.95999998"/>
  </r>
  <r>
    <n v="4"/>
    <n v="31"/>
    <s v="FABIND9INRDZI"/>
    <x v="1"/>
    <s v="I"/>
    <s v="FI2627000086"/>
    <d v="2026-04-15T00:00:00"/>
    <s v="INR"/>
    <n v="661895.04"/>
    <d v="2026-05-25T00:00:00"/>
    <d v="2026-04-20T00:00:00"/>
    <d v="2026-06-14T00:00:00"/>
    <n v="21123"/>
    <d v="2026-04-15T00:00:00"/>
    <m/>
    <m/>
    <s v="TowerGBT-3 Leg Tubular VT30M 200 KMPH"/>
    <n v="595705.53600000008"/>
    <n v="7.6999999999999999E-2"/>
    <n v="55"/>
    <n v="6912"/>
    <n v="588793.53600000008"/>
    <m/>
    <m/>
    <m/>
    <m/>
    <m/>
    <m/>
    <n v="274338104.95999998"/>
  </r>
  <r>
    <n v="4"/>
    <n v="32"/>
    <s v="FABIND9INRDZI"/>
    <x v="1"/>
    <s v="I"/>
    <s v="FI2627000087"/>
    <d v="2026-04-15T00:00:00"/>
    <s v="INR"/>
    <n v="661895.04"/>
    <d v="2026-05-25T00:00:00"/>
    <d v="2026-04-20T00:00:00"/>
    <d v="2026-06-14T00:00:00"/>
    <n v="78512"/>
    <d v="2026-04-15T00:00:00"/>
    <m/>
    <m/>
    <s v="TowerGBT-3 Leg Tubular VT30M 200 KMPH"/>
    <n v="595705.53600000008"/>
    <n v="7.6999999999999999E-2"/>
    <n v="55"/>
    <n v="6912"/>
    <n v="588793.53600000008"/>
    <m/>
    <m/>
    <m/>
    <m/>
    <m/>
    <m/>
    <n v="274338104.95999998"/>
  </r>
  <r>
    <n v="4"/>
    <n v="33"/>
    <s v="FABIND9INRDZI"/>
    <x v="1"/>
    <s v="I"/>
    <s v="FI2627000109"/>
    <d v="2026-04-19T00:00:00"/>
    <s v="INR"/>
    <n v="506008.78"/>
    <d v="2026-05-29T00:00:00"/>
    <d v="2026-04-20T00:00:00"/>
    <d v="2026-06-18T00:00:00"/>
    <n v="10038"/>
    <d v="2026-04-19T00:00:00"/>
    <m/>
    <m/>
    <s v="Tower- GBT- Elite 403 STR - 3L TBLR 40M"/>
    <n v="455407.90200000006"/>
    <n v="7.6999999999999999E-2"/>
    <n v="59"/>
    <n v="5668"/>
    <n v="449739.90200000006"/>
    <m/>
    <m/>
    <m/>
    <m/>
    <m/>
    <m/>
    <n v="274493991.22000003"/>
  </r>
  <r>
    <n v="4"/>
    <n v="34"/>
    <s v="FABIND9INRDZI"/>
    <x v="1"/>
    <s v="I"/>
    <s v="FI2627000110"/>
    <d v="2026-04-19T00:00:00"/>
    <s v="INR"/>
    <n v="506008.78"/>
    <d v="2026-05-29T00:00:00"/>
    <d v="2026-04-20T00:00:00"/>
    <d v="2026-06-18T00:00:00"/>
    <n v="10039"/>
    <d v="2026-04-19T00:00:00"/>
    <m/>
    <m/>
    <s v="Tower- GBT- Elite 403 STR - 3L TBLR 40M"/>
    <n v="455407.90200000006"/>
    <n v="7.6999999999999999E-2"/>
    <n v="59"/>
    <n v="5668"/>
    <n v="449739.90200000006"/>
    <m/>
    <m/>
    <m/>
    <m/>
    <m/>
    <m/>
    <n v="274493991.22000003"/>
  </r>
  <r>
    <n v="4"/>
    <n v="35"/>
    <s v="FABIND9INRDZI"/>
    <x v="1"/>
    <s v="I"/>
    <s v="FI2627000111"/>
    <d v="2026-04-19T00:00:00"/>
    <s v="INR"/>
    <n v="506008.78"/>
    <d v="2026-05-29T00:00:00"/>
    <d v="2026-04-20T00:00:00"/>
    <d v="2026-06-18T00:00:00"/>
    <n v="10040"/>
    <d v="2026-04-19T00:00:00"/>
    <m/>
    <m/>
    <s v="Tower- GBT- Elite 403 STR - 3L TBLR 40M"/>
    <n v="455407.90200000006"/>
    <n v="7.6999999999999999E-2"/>
    <n v="59"/>
    <n v="5668"/>
    <n v="449739.90200000006"/>
    <m/>
    <m/>
    <m/>
    <m/>
    <m/>
    <m/>
    <n v="274493991.22000003"/>
  </r>
  <r>
    <n v="4"/>
    <n v="36"/>
    <s v="FABIND9INRDZI"/>
    <x v="1"/>
    <s v="I"/>
    <s v="FI2627000112"/>
    <d v="2026-04-19T00:00:00"/>
    <s v="INR"/>
    <n v="506008.78"/>
    <d v="2026-05-29T00:00:00"/>
    <d v="2026-04-20T00:00:00"/>
    <d v="2026-06-18T00:00:00"/>
    <n v="10041"/>
    <d v="2026-04-19T00:00:00"/>
    <m/>
    <m/>
    <s v="Tower- GBT- Elite 403 STR - 3L TBLR 40M"/>
    <n v="455407.90200000006"/>
    <n v="7.6999999999999999E-2"/>
    <n v="59"/>
    <n v="5668"/>
    <n v="449739.90200000006"/>
    <m/>
    <m/>
    <m/>
    <m/>
    <m/>
    <m/>
    <n v="274493991.22000003"/>
  </r>
  <r>
    <n v="5"/>
    <n v="37"/>
    <s v="FABIND9INRDZI"/>
    <x v="1"/>
    <s v="I"/>
    <s v="FI2627000118"/>
    <d v="2026-04-20T00:00:00"/>
    <s v="INR"/>
    <n v="483325.64"/>
    <d v="2026-05-30T00:00:00"/>
    <d v="2026-04-23T00:00:00"/>
    <d v="2026-06-19T00:00:00"/>
    <n v="10043"/>
    <d v="2026-04-20T00:00:00"/>
    <m/>
    <m/>
    <s v="Tower- GBT- Elite 403 STR - 3L TBLR 40M"/>
    <n v="434993.076"/>
    <n v="7.6999999999999999E-2"/>
    <n v="57"/>
    <n v="5231"/>
    <n v="429762.076"/>
    <m/>
    <m/>
    <m/>
    <m/>
    <m/>
    <m/>
    <n v="274516674.36000001"/>
  </r>
  <r>
    <n v="5"/>
    <n v="38"/>
    <s v="FABIND9INRDZI"/>
    <x v="1"/>
    <s v="I"/>
    <s v="FI2627000119"/>
    <d v="2026-04-20T00:00:00"/>
    <s v="INR"/>
    <n v="483325.64"/>
    <d v="2026-05-30T00:00:00"/>
    <d v="2026-04-23T00:00:00"/>
    <d v="2026-06-19T00:00:00"/>
    <n v="10044"/>
    <d v="2026-04-20T00:00:00"/>
    <m/>
    <m/>
    <s v="Tower- GBT- Elite 403 STR - 3L TBLR 40M"/>
    <n v="434993.076"/>
    <n v="7.6999999999999999E-2"/>
    <n v="57"/>
    <n v="5231"/>
    <n v="429762.076"/>
    <m/>
    <m/>
    <m/>
    <m/>
    <m/>
    <m/>
    <n v="274516674.36000001"/>
  </r>
  <r>
    <n v="5"/>
    <n v="39"/>
    <s v="FABIND9INRDZI"/>
    <x v="1"/>
    <s v="I"/>
    <s v="FI2627000120"/>
    <d v="2026-04-20T00:00:00"/>
    <s v="INR"/>
    <n v="483325.64"/>
    <d v="2026-05-30T00:00:00"/>
    <d v="2026-04-23T00:00:00"/>
    <d v="2026-06-19T00:00:00"/>
    <n v="10045"/>
    <d v="2026-04-20T00:00:00"/>
    <m/>
    <m/>
    <s v="Tower- GBT- Elite 403 STR - 3L TBLR 40M"/>
    <n v="434993.076"/>
    <n v="7.6999999999999999E-2"/>
    <n v="57"/>
    <n v="5231"/>
    <n v="429762.076"/>
    <m/>
    <m/>
    <m/>
    <m/>
    <m/>
    <m/>
    <n v="274516674.36000001"/>
  </r>
  <r>
    <n v="5"/>
    <n v="40"/>
    <s v="FABIND9INRDZI"/>
    <x v="1"/>
    <s v="I"/>
    <s v="FI2627000121"/>
    <d v="2026-04-20T00:00:00"/>
    <s v="INR"/>
    <n v="483325.64"/>
    <d v="2026-05-30T00:00:00"/>
    <d v="2026-04-23T00:00:00"/>
    <d v="2026-06-19T00:00:00"/>
    <n v="10046"/>
    <d v="2026-04-20T00:00:00"/>
    <m/>
    <m/>
    <s v="Tower- GBT- Elite 403 STR - 3L TBLR 40M"/>
    <n v="434993.076"/>
    <n v="7.6999999999999999E-2"/>
    <n v="57"/>
    <n v="5231"/>
    <n v="429762.076"/>
    <m/>
    <m/>
    <m/>
    <m/>
    <m/>
    <m/>
    <n v="274516674.36000001"/>
  </r>
  <r>
    <n v="5"/>
    <n v="41"/>
    <s v="FABIND9INRDZI"/>
    <x v="1"/>
    <s v="I"/>
    <s v="FI2627000122"/>
    <d v="2026-04-20T00:00:00"/>
    <s v="INR"/>
    <n v="483325.64"/>
    <d v="2026-05-30T00:00:00"/>
    <d v="2026-04-23T00:00:00"/>
    <d v="2026-06-19T00:00:00"/>
    <n v="801"/>
    <d v="2026-04-20T00:00:00"/>
    <m/>
    <m/>
    <s v="Tower- GBT- Elite 403 STR - 3L TBLR 40M"/>
    <n v="434993.076"/>
    <n v="7.6999999999999999E-2"/>
    <n v="57"/>
    <n v="5231"/>
    <n v="429762.076"/>
    <m/>
    <m/>
    <m/>
    <m/>
    <m/>
    <m/>
    <n v="274516674.36000001"/>
  </r>
  <r>
    <n v="5"/>
    <n v="42"/>
    <s v="FABIND9INRDZI"/>
    <x v="1"/>
    <s v="I"/>
    <s v="FI2627000127"/>
    <d v="2026-04-20T00:00:00"/>
    <s v="INR"/>
    <n v="1006923.5"/>
    <d v="2026-05-30T00:00:00"/>
    <d v="2026-04-23T00:00:00"/>
    <d v="2026-06-19T00:00:00"/>
    <n v="78158"/>
    <d v="2026-04-20T00:00:00"/>
    <m/>
    <m/>
    <s v="CIP - GBT - Elite 403 STR - 3L 170KMPH"/>
    <n v="906231.15"/>
    <n v="7.6999999999999999E-2"/>
    <n v="57"/>
    <n v="10897"/>
    <n v="895334.15"/>
    <m/>
    <m/>
    <m/>
    <m/>
    <m/>
    <m/>
    <n v="273993076.5"/>
  </r>
  <r>
    <n v="5"/>
    <n v="43"/>
    <s v="FABIND9INRDZI"/>
    <x v="1"/>
    <s v="I"/>
    <s v="FI2627000128"/>
    <d v="2026-04-20T00:00:00"/>
    <s v="INR"/>
    <n v="671243"/>
    <d v="2026-05-30T00:00:00"/>
    <d v="2026-04-23T00:00:00"/>
    <d v="2026-06-19T00:00:00"/>
    <n v="10047"/>
    <d v="2026-04-20T00:00:00"/>
    <m/>
    <m/>
    <s v="12A - Tower GBT-3 Leg TBLR 40M 170 KMPH"/>
    <n v="604118.70000000007"/>
    <n v="7.6999999999999999E-2"/>
    <n v="57"/>
    <n v="7264"/>
    <n v="596854.70000000007"/>
    <m/>
    <m/>
    <m/>
    <m/>
    <m/>
    <m/>
    <n v="274328757"/>
  </r>
  <r>
    <n v="5"/>
    <n v="44"/>
    <s v="FABIND9INRDZI"/>
    <x v="1"/>
    <s v="I"/>
    <s v="FI2627000134"/>
    <d v="2026-04-21T00:00:00"/>
    <s v="INR"/>
    <n v="481668.92"/>
    <d v="2026-05-31T00:00:00"/>
    <d v="2026-04-23T00:00:00"/>
    <d v="2026-06-20T00:00:00"/>
    <n v="10049"/>
    <d v="2026-04-21T00:00:00"/>
    <m/>
    <m/>
    <s v="TOWER GBT 3Legged VM 30M 170KMPH"/>
    <n v="433502.02799999999"/>
    <n v="7.6999999999999999E-2"/>
    <n v="58"/>
    <n v="5304"/>
    <n v="428198.02799999999"/>
    <m/>
    <m/>
    <m/>
    <m/>
    <m/>
    <m/>
    <n v="274518331.07999998"/>
  </r>
  <r>
    <n v="5"/>
    <n v="45"/>
    <s v="FABIND9INRDZI"/>
    <x v="1"/>
    <s v="I"/>
    <s v="FI2627000135"/>
    <d v="2026-04-21T00:00:00"/>
    <s v="INR"/>
    <n v="506008.78"/>
    <d v="2026-05-31T00:00:00"/>
    <d v="2026-04-23T00:00:00"/>
    <d v="2026-06-20T00:00:00"/>
    <n v="10050"/>
    <d v="2026-04-21T00:00:00"/>
    <m/>
    <m/>
    <s v="Tower- GBT- Elite 403 STR - 3L TBLR 40M"/>
    <n v="455407.90200000006"/>
    <n v="7.6999999999999999E-2"/>
    <n v="58"/>
    <n v="5572"/>
    <n v="449835.90200000006"/>
    <m/>
    <m/>
    <m/>
    <m/>
    <m/>
    <m/>
    <n v="274493991.22000003"/>
  </r>
  <r>
    <n v="5"/>
    <n v="46"/>
    <s v="FABIND9INRDZI"/>
    <x v="1"/>
    <s v="I"/>
    <s v="FI2627000136"/>
    <d v="2026-04-21T00:00:00"/>
    <s v="INR"/>
    <n v="506008.78"/>
    <d v="2026-05-31T00:00:00"/>
    <d v="2026-04-23T00:00:00"/>
    <d v="2026-06-20T00:00:00"/>
    <n v="78519"/>
    <d v="2026-04-21T00:00:00"/>
    <m/>
    <m/>
    <s v="Tower- GBT- Elite 403 STR - 3L TBLR 40M"/>
    <n v="455407.90200000006"/>
    <n v="7.6999999999999999E-2"/>
    <n v="58"/>
    <n v="5572"/>
    <n v="449835.90200000006"/>
    <m/>
    <m/>
    <m/>
    <m/>
    <m/>
    <m/>
    <n v="274493991.22000003"/>
  </r>
  <r>
    <n v="5"/>
    <n v="47"/>
    <s v="FABIND9INRDZI"/>
    <x v="1"/>
    <s v="I"/>
    <s v="FI2627000137"/>
    <d v="2026-04-21T00:00:00"/>
    <s v="INR"/>
    <n v="506008.78"/>
    <d v="2026-05-31T00:00:00"/>
    <d v="2026-04-23T00:00:00"/>
    <d v="2026-06-20T00:00:00"/>
    <n v="78520"/>
    <d v="2026-04-21T00:00:00"/>
    <m/>
    <m/>
    <s v="Tower- GBT- Elite 403 STR - 3L TBLR 40M"/>
    <n v="455407.90200000006"/>
    <n v="7.6999999999999999E-2"/>
    <n v="58"/>
    <n v="5572"/>
    <n v="449835.90200000006"/>
    <m/>
    <m/>
    <m/>
    <m/>
    <m/>
    <m/>
    <n v="274493991.22000003"/>
  </r>
  <r>
    <n v="5"/>
    <n v="48"/>
    <s v="FABIND9INRDZI"/>
    <x v="1"/>
    <s v="I"/>
    <s v="FI2627000139"/>
    <d v="2026-04-21T00:00:00"/>
    <s v="INR"/>
    <n v="506008.78"/>
    <d v="2026-05-31T00:00:00"/>
    <d v="2026-04-23T00:00:00"/>
    <d v="2026-06-20T00:00:00"/>
    <n v="78521"/>
    <d v="2026-04-21T00:00:00"/>
    <m/>
    <m/>
    <s v="Tower- GBT- Elite 403 STR - 3L TBLR 40M"/>
    <n v="455407.90200000006"/>
    <n v="7.6999999999999999E-2"/>
    <n v="58"/>
    <n v="5572"/>
    <n v="449835.90200000006"/>
    <m/>
    <m/>
    <m/>
    <m/>
    <m/>
    <m/>
    <n v="274493991.22000003"/>
  </r>
  <r>
    <n v="5"/>
    <n v="49"/>
    <s v="FABIND9INRDZI"/>
    <x v="1"/>
    <s v="I"/>
    <s v="FI2627000140"/>
    <d v="2026-04-21T00:00:00"/>
    <s v="INR"/>
    <n v="506008.78"/>
    <d v="2026-05-31T00:00:00"/>
    <d v="2026-04-23T00:00:00"/>
    <d v="2026-06-20T00:00:00"/>
    <n v="10051"/>
    <d v="2026-04-21T00:00:00"/>
    <m/>
    <m/>
    <s v="Tower- GBT- Elite 403 STR - 3L TBLR 40M"/>
    <n v="455407.90200000006"/>
    <n v="7.6999999999999999E-2"/>
    <n v="58"/>
    <n v="5572"/>
    <n v="449835.90200000006"/>
    <m/>
    <m/>
    <m/>
    <m/>
    <m/>
    <m/>
    <n v="274493991.22000003"/>
  </r>
  <r>
    <n v="5"/>
    <n v="50"/>
    <s v="FABIND9INRDZI"/>
    <x v="1"/>
    <s v="I"/>
    <s v="FI2627000148"/>
    <d v="2026-04-21T00:00:00"/>
    <s v="INR"/>
    <n v="506008.78"/>
    <d v="2026-05-31T00:00:00"/>
    <d v="2026-04-23T00:00:00"/>
    <d v="2026-06-20T00:00:00"/>
    <n v="78522"/>
    <d v="2026-04-21T00:00:00"/>
    <m/>
    <m/>
    <s v="Tower- GBT- Elite 403 STR - 3L TBLR 40M"/>
    <n v="455407.90200000006"/>
    <n v="7.6999999999999999E-2"/>
    <n v="58"/>
    <n v="5572"/>
    <n v="449835.90200000006"/>
    <m/>
    <m/>
    <m/>
    <m/>
    <m/>
    <m/>
    <n v="274493991.22000003"/>
  </r>
  <r>
    <n v="6"/>
    <n v="51"/>
    <s v="FABIND9INRDZI"/>
    <x v="1"/>
    <s v="I"/>
    <s v="FI2627000151"/>
    <d v="2026-04-22T00:00:00"/>
    <s v="INR"/>
    <n v="873873.78"/>
    <d v="2026-06-01T00:00:00"/>
    <d v="2026-04-23T00:00:00"/>
    <d v="2026-06-21T00:00:00"/>
    <n v="25333"/>
    <d v="2026-04-22T00:00:00"/>
    <m/>
    <m/>
    <s v="SLIP JOINT MONOPOLE-30M (INDUS)"/>
    <n v="786486.402"/>
    <n v="7.6999999999999999E-2"/>
    <n v="59"/>
    <n v="9789"/>
    <n v="776697.402"/>
    <m/>
    <m/>
    <m/>
    <m/>
    <m/>
    <m/>
    <n v="274126126.22000003"/>
  </r>
  <r>
    <n v="6"/>
    <n v="52"/>
    <s v="FABIND9INRDZI"/>
    <x v="1"/>
    <s v="I"/>
    <s v="FI2627000152"/>
    <d v="2026-04-22T00:00:00"/>
    <s v="INR"/>
    <n v="483325.64"/>
    <d v="2026-06-01T00:00:00"/>
    <d v="2026-04-23T00:00:00"/>
    <d v="2026-06-21T00:00:00"/>
    <n v="10054"/>
    <d v="2026-04-22T00:00:00"/>
    <m/>
    <m/>
    <s v="Tower- GBT- Elite 403 STR - 3L TBLR 40M"/>
    <n v="434993.076"/>
    <n v="7.6999999999999999E-2"/>
    <n v="59"/>
    <n v="5414"/>
    <n v="429579.076"/>
    <m/>
    <m/>
    <m/>
    <m/>
    <m/>
    <m/>
    <n v="274516674.36000001"/>
  </r>
  <r>
    <n v="6"/>
    <n v="53"/>
    <s v="FABIND9INRDZI"/>
    <x v="1"/>
    <s v="I"/>
    <s v="FI2627000153"/>
    <d v="2026-04-22T00:00:00"/>
    <s v="INR"/>
    <n v="483325.64"/>
    <d v="2026-06-01T00:00:00"/>
    <d v="2026-04-23T00:00:00"/>
    <d v="2026-06-21T00:00:00"/>
    <n v="10053"/>
    <d v="2026-04-22T00:00:00"/>
    <m/>
    <m/>
    <s v="Tower- GBT- Elite 403 STR - 3L TBLR 40M"/>
    <n v="434993.076"/>
    <n v="7.6999999999999999E-2"/>
    <n v="59"/>
    <n v="5414"/>
    <n v="429579.076"/>
    <m/>
    <m/>
    <m/>
    <m/>
    <m/>
    <m/>
    <n v="274516674.36000001"/>
  </r>
  <r>
    <n v="6"/>
    <n v="54"/>
    <s v="FABIND9INRDZI"/>
    <x v="1"/>
    <s v="I"/>
    <s v="FI2627000156"/>
    <d v="2026-04-22T00:00:00"/>
    <s v="INR"/>
    <n v="483325.64"/>
    <d v="2026-06-01T00:00:00"/>
    <d v="2026-04-23T00:00:00"/>
    <d v="2026-06-21T00:00:00"/>
    <n v="21129"/>
    <d v="2026-04-22T00:00:00"/>
    <m/>
    <m/>
    <s v="Tower- GBT- Elite 403 STR - 3L TBLR 40M"/>
    <n v="434993.076"/>
    <n v="7.6999999999999999E-2"/>
    <n v="59"/>
    <n v="5414"/>
    <n v="429579.076"/>
    <m/>
    <m/>
    <m/>
    <m/>
    <m/>
    <m/>
    <n v="274516674.36000001"/>
  </r>
  <r>
    <n v="7"/>
    <n v="55"/>
    <s v="FABIND9INRDZI"/>
    <x v="1"/>
    <s v="I"/>
    <s v="FI2627000168"/>
    <d v="2026-04-23T00:00:00"/>
    <s v="INR"/>
    <n v="455946.1"/>
    <d v="2026-06-02T00:00:00"/>
    <d v="2026-04-23T00:00:00"/>
    <d v="2026-06-22T00:00:00"/>
    <s v="11527"/>
    <d v="2026-04-23T00:00:00"/>
    <m/>
    <m/>
    <s v="Tower- GBT- Elite-402 - 3L TBLR 40M 140"/>
    <n v="410351.49"/>
    <n v="7.6999999999999999E-2"/>
    <n v="60"/>
    <n v="5194"/>
    <n v="405157.49"/>
    <m/>
    <m/>
    <m/>
    <m/>
    <m/>
    <m/>
    <n v="274544053.89999998"/>
  </r>
  <r>
    <n v="7"/>
    <n v="56"/>
    <s v="FABIND9INRDZI"/>
    <x v="1"/>
    <s v="I"/>
    <s v="FI2627000169"/>
    <d v="2026-04-23T00:00:00"/>
    <s v="INR"/>
    <n v="483325.64"/>
    <d v="2026-06-02T00:00:00"/>
    <d v="2026-04-23T00:00:00"/>
    <d v="2026-06-22T00:00:00"/>
    <s v="11528"/>
    <d v="2026-04-23T00:00:00"/>
    <m/>
    <m/>
    <s v="Tower- GBT- Elite 403 STR - 3L TBLR 40M"/>
    <n v="434993.076"/>
    <n v="7.6999999999999999E-2"/>
    <n v="60"/>
    <n v="5506"/>
    <n v="429487.076"/>
    <m/>
    <m/>
    <m/>
    <m/>
    <m/>
    <m/>
    <n v="274516674.36000001"/>
  </r>
  <r>
    <n v="8"/>
    <n v="57"/>
    <s v="FABIND9INRDZI"/>
    <x v="1"/>
    <s v="I"/>
    <s v="FI2627000176"/>
    <d v="2026-04-24T00:00:00"/>
    <s v="INR"/>
    <n v="684578.18"/>
    <d v="2026-06-03T00:00:00"/>
    <d v="2026-04-24T00:00:00"/>
    <d v="2026-06-23T00:00:00"/>
    <s v="10061"/>
    <d v="2026-04-24T00:00:00"/>
    <m/>
    <m/>
    <s v="TowerGBT-3 Leg Tubular VT30M 200 KMPH"/>
    <n v="616120.36200000008"/>
    <n v="7.6999999999999999E-2"/>
    <n v="60"/>
    <n v="7799"/>
    <n v="608321.36200000008"/>
    <m/>
    <m/>
    <m/>
    <m/>
    <m/>
    <m/>
    <n v="274315421.81999999"/>
  </r>
  <r>
    <n v="8"/>
    <n v="58"/>
    <s v="FABIND9INRDZI"/>
    <x v="1"/>
    <s v="I"/>
    <s v="FI2627000177"/>
    <d v="2026-04-24T00:00:00"/>
    <s v="INR"/>
    <n v="75263.94"/>
    <d v="2026-06-03T00:00:00"/>
    <d v="2026-04-24T00:00:00"/>
    <d v="2026-06-23T00:00:00"/>
    <s v="10062"/>
    <d v="2026-04-24T00:00:00"/>
    <m/>
    <m/>
    <s v="Cast In part GBT-3L TBLR VT30M 200KMPH"/>
    <n v="67737.546000000002"/>
    <n v="7.6999999999999999E-2"/>
    <n v="60"/>
    <n v="857"/>
    <n v="66880.546000000002"/>
    <m/>
    <m/>
    <m/>
    <m/>
    <m/>
    <m/>
    <n v="274924736.06"/>
  </r>
  <r>
    <n v="8"/>
    <n v="59"/>
    <s v="FABIND9INRDZI"/>
    <x v="1"/>
    <s v="I"/>
    <s v="FI2627000178"/>
    <d v="2026-04-24T00:00:00"/>
    <s v="INR"/>
    <n v="684578.18"/>
    <d v="2026-06-03T00:00:00"/>
    <d v="2026-04-24T00:00:00"/>
    <d v="2026-06-23T00:00:00"/>
    <s v="10063"/>
    <d v="2026-04-24T00:00:00"/>
    <m/>
    <m/>
    <s v="TowerGBT-3 Leg Tubular VT30M 200 KMPH"/>
    <n v="616120.36200000008"/>
    <n v="7.6999999999999999E-2"/>
    <n v="60"/>
    <n v="7799"/>
    <n v="608321.36200000008"/>
    <m/>
    <m/>
    <m/>
    <m/>
    <m/>
    <m/>
    <n v="274315421.81999999"/>
  </r>
  <r>
    <n v="8"/>
    <n v="60"/>
    <s v="FABIND9INRDZI"/>
    <x v="1"/>
    <s v="I"/>
    <s v="FI2627000179"/>
    <d v="2026-04-24T00:00:00"/>
    <s v="INR"/>
    <n v="75263.94"/>
    <d v="2026-06-03T00:00:00"/>
    <d v="2026-04-24T00:00:00"/>
    <d v="2026-06-23T00:00:00"/>
    <s v="10064"/>
    <d v="2026-04-24T00:00:00"/>
    <m/>
    <m/>
    <s v="Cast In part GBT-3L TBLR VT30M 200KMPH"/>
    <n v="67737.546000000002"/>
    <n v="7.6999999999999999E-2"/>
    <n v="60"/>
    <n v="857"/>
    <n v="66880.546000000002"/>
    <m/>
    <m/>
    <m/>
    <m/>
    <m/>
    <m/>
    <n v="274924736.06"/>
  </r>
  <r>
    <n v="8"/>
    <n v="61"/>
    <s v="FABIND9INRDZI"/>
    <x v="1"/>
    <s v="I"/>
    <s v="FI2627000182"/>
    <d v="2026-04-24T00:00:00"/>
    <s v="INR"/>
    <n v="574467.66"/>
    <d v="2026-06-03T00:00:00"/>
    <d v="2026-04-24T00:00:00"/>
    <d v="2026-06-23T00:00:00"/>
    <s v="806"/>
    <d v="2026-04-24T00:00:00"/>
    <m/>
    <m/>
    <s v="NBT 40Mtr Tower"/>
    <n v="517020.89400000003"/>
    <n v="7.6999999999999999E-2"/>
    <n v="60"/>
    <n v="6544"/>
    <n v="510476.89400000003"/>
    <m/>
    <m/>
    <m/>
    <m/>
    <m/>
    <m/>
    <n v="274425532.33999997"/>
  </r>
  <r>
    <n v="8"/>
    <n v="62"/>
    <s v="FABIND9INRDZI"/>
    <x v="1"/>
    <s v="I"/>
    <s v="FI2627000183"/>
    <d v="2026-04-24T00:00:00"/>
    <s v="INR"/>
    <n v="574467.66"/>
    <d v="2026-06-03T00:00:00"/>
    <d v="2026-04-24T00:00:00"/>
    <d v="2026-06-23T00:00:00"/>
    <s v="805"/>
    <d v="2026-04-24T00:00:00"/>
    <m/>
    <m/>
    <s v="NBT 40Mtr Tower"/>
    <n v="517020.89400000003"/>
    <n v="7.6999999999999999E-2"/>
    <n v="60"/>
    <n v="6544"/>
    <n v="510476.89400000003"/>
    <m/>
    <m/>
    <m/>
    <m/>
    <m/>
    <m/>
    <n v="274425532.33999997"/>
  </r>
  <r>
    <n v="8"/>
    <n v="63"/>
    <s v="FABIND9INRDZI"/>
    <x v="1"/>
    <s v="I"/>
    <s v="FI2627000184"/>
    <d v="2026-04-24T00:00:00"/>
    <s v="INR"/>
    <n v="574467.66"/>
    <d v="2026-06-03T00:00:00"/>
    <d v="2026-04-24T00:00:00"/>
    <d v="2026-06-23T00:00:00"/>
    <s v="807"/>
    <d v="2026-04-24T00:00:00"/>
    <m/>
    <m/>
    <s v="NBT 40Mtr Tower"/>
    <n v="517020.89400000003"/>
    <n v="7.6999999999999999E-2"/>
    <n v="60"/>
    <n v="6544"/>
    <n v="510476.89400000003"/>
    <m/>
    <m/>
    <m/>
    <m/>
    <m/>
    <m/>
    <n v="274425532.33999997"/>
  </r>
  <r>
    <n v="8"/>
    <n v="64"/>
    <s v="FABIND9INRDZI"/>
    <x v="1"/>
    <s v="I"/>
    <s v="FI2627000185"/>
    <d v="2026-04-24T00:00:00"/>
    <s v="INR"/>
    <n v="574467.66"/>
    <d v="2026-06-03T00:00:00"/>
    <d v="2026-04-24T00:00:00"/>
    <d v="2026-06-23T00:00:00"/>
    <s v="10066"/>
    <d v="2026-04-24T00:00:00"/>
    <m/>
    <m/>
    <s v="NBT 40Mtr Tower"/>
    <n v="517020.89400000003"/>
    <n v="7.6999999999999999E-2"/>
    <n v="60"/>
    <n v="6544"/>
    <n v="510476.89400000003"/>
    <m/>
    <m/>
    <m/>
    <m/>
    <m/>
    <m/>
    <n v="274425532.33999997"/>
  </r>
  <r>
    <n v="8"/>
    <n v="65"/>
    <s v="FABIND9INRDZI"/>
    <x v="1"/>
    <s v="I"/>
    <s v="FI2627000186"/>
    <d v="2026-04-24T00:00:00"/>
    <s v="INR"/>
    <n v="574467.66"/>
    <d v="2026-06-03T00:00:00"/>
    <d v="2026-04-24T00:00:00"/>
    <d v="2026-06-23T00:00:00"/>
    <s v="10067"/>
    <d v="2026-04-24T00:00:00"/>
    <m/>
    <m/>
    <s v="NBT 40Mtr Tower"/>
    <n v="517020.89400000003"/>
    <n v="7.6999999999999999E-2"/>
    <n v="60"/>
    <n v="6544"/>
    <n v="510476.89400000003"/>
    <m/>
    <m/>
    <m/>
    <m/>
    <m/>
    <m/>
    <n v="274425532.33999997"/>
  </r>
  <r>
    <n v="8"/>
    <n v="66"/>
    <s v="FABIND9INRDZI"/>
    <x v="1"/>
    <s v="I"/>
    <s v="FI2627000188"/>
    <d v="2026-04-24T00:00:00"/>
    <s v="INR"/>
    <n v="481668.92"/>
    <d v="2026-06-03T00:00:00"/>
    <d v="2026-04-24T00:00:00"/>
    <d v="2026-06-23T00:00:00"/>
    <s v="11529"/>
    <d v="2026-04-24T00:00:00"/>
    <m/>
    <m/>
    <s v="TOWER GBT 3Legged VM 30M 170KMPH"/>
    <n v="433502.02799999999"/>
    <n v="7.6999999999999999E-2"/>
    <n v="60"/>
    <n v="5487"/>
    <n v="428015.02799999999"/>
    <m/>
    <m/>
    <m/>
    <m/>
    <m/>
    <m/>
    <n v="274518331.07999998"/>
  </r>
  <r>
    <n v="9"/>
    <n v="67"/>
    <s v="FABIND9INRDZI"/>
    <x v="1"/>
    <s v="I"/>
    <s v="FI2627000196"/>
    <d v="2026-04-26T00:00:00"/>
    <s v="INR"/>
    <n v="574467.66"/>
    <d v="2026-06-05T00:00:00"/>
    <d v="2026-04-27T00:00:00"/>
    <d v="2026-06-25T00:00:00"/>
    <s v="78526"/>
    <d v="2026-04-26T00:00:00"/>
    <m/>
    <m/>
    <s v="NBT 40Mtr Tower"/>
    <n v="517020.89400000003"/>
    <n v="7.6999999999999999E-2"/>
    <n v="59"/>
    <n v="6435"/>
    <n v="510585.89400000003"/>
    <m/>
    <m/>
    <m/>
    <m/>
    <m/>
    <m/>
    <n v="274425532.33999997"/>
  </r>
  <r>
    <n v="9"/>
    <n v="68"/>
    <s v="FABIND9INRDZI"/>
    <x v="1"/>
    <s v="I"/>
    <s v="FI2627000197"/>
    <d v="2026-04-26T00:00:00"/>
    <s v="INR"/>
    <n v="574467.66"/>
    <d v="2026-06-05T00:00:00"/>
    <d v="2026-04-27T00:00:00"/>
    <d v="2026-06-25T00:00:00"/>
    <s v="10070"/>
    <d v="2026-04-26T00:00:00"/>
    <m/>
    <m/>
    <s v="NBT 40Mtr Tower"/>
    <n v="517020.89400000003"/>
    <n v="7.6999999999999999E-2"/>
    <n v="59"/>
    <n v="6435"/>
    <n v="510585.89400000003"/>
    <m/>
    <m/>
    <m/>
    <m/>
    <m/>
    <m/>
    <n v="274425532.33999997"/>
  </r>
  <r>
    <n v="9"/>
    <n v="69"/>
    <s v="FABIND9INRDZI"/>
    <x v="1"/>
    <s v="I"/>
    <s v="FI2627000198"/>
    <d v="2026-04-26T00:00:00"/>
    <s v="INR"/>
    <n v="574467.66"/>
    <d v="2026-06-05T00:00:00"/>
    <d v="2026-04-27T00:00:00"/>
    <d v="2026-06-25T00:00:00"/>
    <s v="810"/>
    <d v="2026-04-26T00:00:00"/>
    <m/>
    <m/>
    <s v="NBT 40Mtr Tower"/>
    <n v="517020.89400000003"/>
    <n v="7.6999999999999999E-2"/>
    <n v="59"/>
    <n v="6435"/>
    <n v="510585.89400000003"/>
    <m/>
    <m/>
    <m/>
    <m/>
    <m/>
    <m/>
    <n v="274425532.33999997"/>
  </r>
  <r>
    <n v="9"/>
    <n v="70"/>
    <s v="FABIND9INRDZI"/>
    <x v="1"/>
    <s v="I"/>
    <s v="FI2627000199"/>
    <d v="2026-04-26T00:00:00"/>
    <s v="INR"/>
    <n v="574467.66"/>
    <d v="2026-06-05T00:00:00"/>
    <d v="2026-04-27T00:00:00"/>
    <d v="2026-06-25T00:00:00"/>
    <s v="11530"/>
    <d v="2026-04-26T00:00:00"/>
    <m/>
    <m/>
    <s v="NBT 40Mtr Tower"/>
    <n v="517020.89400000003"/>
    <n v="7.6999999999999999E-2"/>
    <n v="59"/>
    <n v="6435"/>
    <n v="510585.89400000003"/>
    <m/>
    <m/>
    <m/>
    <m/>
    <m/>
    <m/>
    <n v="274425532.33999997"/>
  </r>
  <r>
    <n v="0"/>
    <n v="71"/>
    <s v="FABIND9INRDZI"/>
    <x v="2"/>
    <s v="I"/>
    <s v="FI2526009378"/>
    <d v="2026-03-12T00:00:00"/>
    <s v="INR"/>
    <n v="764307.41"/>
    <d v="2026-04-25T00:00:00"/>
    <d v="2026-04-23T00:00:00"/>
    <d v="2026-05-15T00:00:00"/>
    <m/>
    <d v="2026-03-12T00:00:00"/>
    <m/>
    <m/>
    <m/>
    <n v="687876.66899999999"/>
    <n v="7.6999999999999999E-2"/>
    <n v="22"/>
    <n v="3193"/>
    <n v="684683.66899999999"/>
    <m/>
    <m/>
    <m/>
    <m/>
    <m/>
    <m/>
    <n v="219235692.59"/>
  </r>
  <r>
    <n v="1"/>
    <n v="72"/>
    <s v="FABIND9INRDZI"/>
    <x v="2"/>
    <s v="I"/>
    <s v="FI2627000094"/>
    <d v="2026-04-16T00:00:00"/>
    <s v="INR"/>
    <n v="822460"/>
    <d v="2026-05-30T00:00:00"/>
    <d v="2026-04-20T00:00:00"/>
    <d v="2026-06-19T00:00:00"/>
    <n v="2000146043"/>
    <d v="2026-04-16T00:00:00"/>
    <m/>
    <m/>
    <s v="CIP for 12/18 Panel Structure_New Design"/>
    <n v="740214"/>
    <n v="7.6999999999999999E-2"/>
    <n v="60"/>
    <n v="9369"/>
    <n v="730845"/>
    <m/>
    <m/>
    <m/>
    <m/>
    <m/>
    <m/>
    <n v="219177540"/>
  </r>
  <r>
    <n v="1"/>
    <n v="73"/>
    <s v="FABIND9INRDZI"/>
    <x v="2"/>
    <s v="I"/>
    <s v="FI2627000107"/>
    <d v="2026-04-19T00:00:00"/>
    <s v="INR"/>
    <n v="822460"/>
    <d v="2026-06-02T00:00:00"/>
    <d v="2026-04-20T00:00:00"/>
    <d v="2026-06-22T00:00:00"/>
    <n v="2000146110"/>
    <d v="2026-04-19T00:00:00"/>
    <m/>
    <m/>
    <s v="CIP for 12/18 Panel Structure_New Design"/>
    <n v="740214"/>
    <n v="7.6999999999999999E-2"/>
    <n v="63"/>
    <n v="9838"/>
    <n v="730376"/>
    <m/>
    <m/>
    <m/>
    <m/>
    <m/>
    <m/>
    <n v="219177540"/>
  </r>
  <r>
    <n v="2"/>
    <n v="74"/>
    <s v="FABIND9INRDZI"/>
    <x v="2"/>
    <s v="I"/>
    <s v="FI2627000123"/>
    <d v="2026-04-20T00:00:00"/>
    <s v="INR"/>
    <n v="766484.34"/>
    <d v="2026-06-03T00:00:00"/>
    <d v="2026-04-23T00:00:00"/>
    <d v="2026-06-23T00:00:00"/>
    <n v="2000146126"/>
    <d v="2026-04-20T00:00:00"/>
    <m/>
    <m/>
    <s v="TOWER12A TUBULR3 LEG W PLT &amp; FNCE-FAB"/>
    <n v="689835.90599999996"/>
    <n v="7.6999999999999999E-2"/>
    <n v="61"/>
    <n v="8877"/>
    <n v="680958.90599999996"/>
    <m/>
    <m/>
    <m/>
    <m/>
    <m/>
    <m/>
    <n v="219233515.66"/>
  </r>
  <r>
    <n v="2"/>
    <n v="75"/>
    <s v="FABIND9INRDZI"/>
    <x v="2"/>
    <s v="I"/>
    <s v="FI2627000124"/>
    <d v="2026-04-20T00:00:00"/>
    <s v="INR"/>
    <n v="766484.34"/>
    <d v="2026-06-03T00:00:00"/>
    <d v="2026-04-23T00:00:00"/>
    <d v="2026-06-23T00:00:00"/>
    <n v="2000146129"/>
    <d v="2026-04-20T00:00:00"/>
    <m/>
    <m/>
    <s v="TOWER12A TUBULR3 LEG W PLT &amp; FNCE-FAB"/>
    <n v="689835.90599999996"/>
    <n v="7.6999999999999999E-2"/>
    <n v="61"/>
    <n v="8877"/>
    <n v="680958.90599999996"/>
    <m/>
    <m/>
    <m/>
    <m/>
    <m/>
    <m/>
    <n v="219233515.66"/>
  </r>
  <r>
    <n v="2"/>
    <n v="76"/>
    <s v="FABIND9INRDZI"/>
    <x v="2"/>
    <s v="I"/>
    <s v="FI2627000125"/>
    <d v="2026-04-20T00:00:00"/>
    <s v="INR"/>
    <n v="766484.34"/>
    <d v="2026-06-03T00:00:00"/>
    <d v="2026-04-23T00:00:00"/>
    <d v="2026-06-23T00:00:00"/>
    <n v="2000146130"/>
    <d v="2026-04-20T00:00:00"/>
    <m/>
    <m/>
    <s v="TOWER12A TUBULR3 LEG W PLT &amp; FNCE-FAB"/>
    <n v="689835.90599999996"/>
    <n v="7.6999999999999999E-2"/>
    <n v="61"/>
    <n v="8877"/>
    <n v="680958.90599999996"/>
    <m/>
    <m/>
    <m/>
    <m/>
    <m/>
    <m/>
    <n v="219233515.66"/>
  </r>
  <r>
    <n v="2"/>
    <n v="77"/>
    <s v="FABIND9INRDZI"/>
    <x v="2"/>
    <s v="I"/>
    <s v="FI2627000126"/>
    <d v="2026-04-20T00:00:00"/>
    <s v="INR"/>
    <n v="766484.34"/>
    <d v="2026-06-03T00:00:00"/>
    <d v="2026-04-23T00:00:00"/>
    <d v="2026-06-23T00:00:00"/>
    <n v="2000146128"/>
    <d v="2026-04-20T00:00:00"/>
    <m/>
    <m/>
    <s v="TOWER12A TUBULR3 LEG W PLT &amp; FNCE-FAB"/>
    <n v="689835.90599999996"/>
    <n v="7.6999999999999999E-2"/>
    <n v="61"/>
    <n v="8877"/>
    <n v="680958.90599999996"/>
    <m/>
    <m/>
    <m/>
    <m/>
    <m/>
    <m/>
    <n v="219233515.66"/>
  </r>
  <r>
    <n v="2"/>
    <n v="78"/>
    <s v="FABIND9INRDZI"/>
    <x v="2"/>
    <s v="I"/>
    <s v="FI2627000143"/>
    <d v="2026-04-21T00:00:00"/>
    <s v="INR"/>
    <n v="822460"/>
    <d v="2026-06-04T00:00:00"/>
    <d v="2026-04-23T00:00:00"/>
    <d v="2026-06-24T00:00:00"/>
    <n v="2000146147"/>
    <d v="2026-04-21T00:00:00"/>
    <m/>
    <m/>
    <s v="CIP for 12/18 Panel Structure_New Design"/>
    <n v="740214"/>
    <n v="7.6999999999999999E-2"/>
    <n v="62"/>
    <n v="9682"/>
    <n v="730532"/>
    <m/>
    <m/>
    <m/>
    <m/>
    <m/>
    <m/>
    <n v="219177540"/>
  </r>
  <r>
    <n v="2"/>
    <n v="79"/>
    <s v="FABIND9INRDZI"/>
    <x v="2"/>
    <s v="I"/>
    <s v="FI2627000146"/>
    <d v="2026-04-21T00:00:00"/>
    <s v="INR"/>
    <n v="822460"/>
    <d v="2026-06-04T00:00:00"/>
    <d v="2026-04-23T00:00:00"/>
    <d v="2026-06-24T00:00:00"/>
    <n v="2000146148"/>
    <d v="2026-04-21T00:00:00"/>
    <m/>
    <m/>
    <s v="CIP for 12/18 Panel Structure_New Design"/>
    <n v="740214"/>
    <n v="7.6999999999999999E-2"/>
    <n v="62"/>
    <n v="9682"/>
    <n v="730532"/>
    <m/>
    <m/>
    <m/>
    <m/>
    <m/>
    <m/>
    <n v="219177540"/>
  </r>
  <r>
    <n v="3"/>
    <n v="80"/>
    <s v="FABIND9INRDZI"/>
    <x v="2"/>
    <s v="I"/>
    <s v="FI2627000154"/>
    <d v="2026-04-22T00:00:00"/>
    <s v="INR"/>
    <n v="1069198"/>
    <d v="2026-06-05T00:00:00"/>
    <d v="2026-04-23T00:00:00"/>
    <d v="2026-06-25T00:00:00"/>
    <n v="2000146151"/>
    <d v="2026-04-22T00:00:00"/>
    <m/>
    <m/>
    <s v="TOWER12A TUBULR3 LEG W PLT &amp; FNCE-FAB"/>
    <n v="962278.20000000007"/>
    <n v="7.6999999999999999E-2"/>
    <n v="63"/>
    <n v="12789"/>
    <n v="949489.20000000007"/>
    <m/>
    <m/>
    <m/>
    <m/>
    <m/>
    <m/>
    <n v="218930802"/>
  </r>
  <r>
    <n v="4"/>
    <n v="81"/>
    <s v="FABIND9INRDZI"/>
    <x v="2"/>
    <s v="I"/>
    <s v="FI2627000164"/>
    <d v="2026-04-23T00:00:00"/>
    <s v="INR"/>
    <n v="916860"/>
    <d v="2026-06-06T00:00:00"/>
    <d v="2026-04-23T00:00:00"/>
    <d v="2026-06-26T00:00:00"/>
    <s v="2000146179"/>
    <d v="2026-04-23T00:00:00"/>
    <m/>
    <m/>
    <s v="GBM30MTRIBANDLOADING50M/S-FAB"/>
    <n v="825174"/>
    <n v="7.6999999999999999E-2"/>
    <n v="64"/>
    <n v="11141"/>
    <n v="814033"/>
    <m/>
    <m/>
    <m/>
    <m/>
    <m/>
    <m/>
    <n v="219083140"/>
  </r>
  <r>
    <n v="4"/>
    <n v="82"/>
    <s v="FABIND9INRDZI"/>
    <x v="2"/>
    <s v="I"/>
    <s v="FI2627000165"/>
    <d v="2026-04-23T00:00:00"/>
    <s v="INR"/>
    <n v="848001.1"/>
    <d v="2026-06-06T00:00:00"/>
    <d v="2026-04-23T00:00:00"/>
    <d v="2026-06-26T00:00:00"/>
    <s v="2000146180"/>
    <d v="2026-04-23T00:00:00"/>
    <m/>
    <m/>
    <s v="TUBULAR POLE 23M HIGH WS-50M/S"/>
    <n v="763200.99"/>
    <n v="7.6999999999999999E-2"/>
    <n v="64"/>
    <n v="10304"/>
    <n v="752896.99"/>
    <m/>
    <m/>
    <m/>
    <m/>
    <m/>
    <m/>
    <n v="219151998.90000001"/>
  </r>
  <r>
    <n v="4"/>
    <n v="83"/>
    <s v="FABIND9INRDZI"/>
    <x v="2"/>
    <s v="I"/>
    <s v="FI2627000170"/>
    <d v="2026-04-23T00:00:00"/>
    <s v="INR"/>
    <n v="766484.34"/>
    <d v="2026-06-06T00:00:00"/>
    <d v="2026-04-23T00:00:00"/>
    <d v="2026-06-26T00:00:00"/>
    <s v="2000146185"/>
    <d v="2026-04-23T00:00:00"/>
    <m/>
    <m/>
    <s v="TOWER12A TUBULR3 LEG W PLT &amp; FNCE-FAB"/>
    <n v="689835.90599999996"/>
    <n v="7.6999999999999999E-2"/>
    <n v="64"/>
    <n v="9314"/>
    <n v="680521.90599999996"/>
    <m/>
    <m/>
    <m/>
    <m/>
    <m/>
    <m/>
    <n v="219233515.66"/>
  </r>
  <r>
    <n v="4"/>
    <n v="84"/>
    <s v="FABIND9INRDZI"/>
    <x v="2"/>
    <s v="I"/>
    <s v="FI2627000171"/>
    <d v="2026-04-23T00:00:00"/>
    <s v="INR"/>
    <n v="766484.34"/>
    <d v="2026-06-06T00:00:00"/>
    <d v="2026-04-23T00:00:00"/>
    <d v="2026-06-26T00:00:00"/>
    <s v="2000146189"/>
    <d v="2026-04-23T00:00:00"/>
    <m/>
    <m/>
    <s v="TOWER12A TUBULR3 LEG W PLT &amp; FNCE-FAB"/>
    <n v="689835.90599999996"/>
    <n v="7.6999999999999999E-2"/>
    <n v="64"/>
    <n v="9314"/>
    <n v="680521.90599999996"/>
    <m/>
    <m/>
    <m/>
    <m/>
    <m/>
    <m/>
    <n v="219233515.66"/>
  </r>
  <r>
    <n v="4"/>
    <n v="85"/>
    <s v="FABIND9INRDZI"/>
    <x v="2"/>
    <s v="I"/>
    <s v="FI2627000175"/>
    <d v="2026-04-23T00:00:00"/>
    <s v="INR"/>
    <n v="766484.34"/>
    <d v="2026-06-06T00:00:00"/>
    <d v="2026-04-23T00:00:00"/>
    <d v="2026-06-26T00:00:00"/>
    <s v="2000146186"/>
    <d v="2026-04-23T00:00:00"/>
    <m/>
    <m/>
    <s v="TOWER12A TUBULR3 LEG W PLT &amp; FNCE-FAB"/>
    <n v="689835.90599999996"/>
    <n v="7.6999999999999999E-2"/>
    <n v="64"/>
    <n v="9314"/>
    <n v="680521.90599999996"/>
    <m/>
    <m/>
    <m/>
    <m/>
    <m/>
    <m/>
    <n v="219233515.66"/>
  </r>
  <r>
    <n v="5"/>
    <n v="86"/>
    <s v="FABIND9INRDZI"/>
    <x v="2"/>
    <s v="I"/>
    <s v="FI2627000181"/>
    <d v="2026-04-24T00:00:00"/>
    <s v="INR"/>
    <n v="766484.34"/>
    <d v="2026-06-07T00:00:00"/>
    <d v="2026-04-24T00:00:00"/>
    <d v="2026-06-27T00:00:00"/>
    <s v="2000146210"/>
    <d v="2026-04-24T00:00:00"/>
    <m/>
    <m/>
    <s v="TOWER12A TUBULR3 LEG W PLT &amp; FNCE-FAB"/>
    <n v="689835.90599999996"/>
    <n v="7.6999999999999999E-2"/>
    <n v="64"/>
    <n v="9314"/>
    <n v="680521.90599999996"/>
    <m/>
    <m/>
    <m/>
    <m/>
    <m/>
    <m/>
    <n v="219233515.66"/>
  </r>
  <r>
    <n v="5"/>
    <n v="87"/>
    <s v="FABIND9INRDZI"/>
    <x v="2"/>
    <s v="I"/>
    <s v="FI2627000187"/>
    <d v="2026-04-24T00:00:00"/>
    <s v="INR"/>
    <n v="766484.34"/>
    <d v="2026-06-07T00:00:00"/>
    <d v="2026-04-24T00:00:00"/>
    <d v="2026-06-27T00:00:00"/>
    <s v="2000146212"/>
    <d v="2026-04-24T00:00:00"/>
    <m/>
    <m/>
    <s v="TOWER12A TUBULR3 LEG W PLT &amp; FNCE-FAB"/>
    <n v="689835.90599999996"/>
    <n v="7.6999999999999999E-2"/>
    <n v="64"/>
    <n v="9314"/>
    <n v="680521.90599999996"/>
    <m/>
    <m/>
    <m/>
    <m/>
    <m/>
    <m/>
    <n v="219233515.66"/>
  </r>
  <r>
    <n v="6"/>
    <n v="88"/>
    <s v="FABIND9INRDZI"/>
    <x v="2"/>
    <s v="I"/>
    <s v="FI2627000191"/>
    <d v="2026-04-24T00:00:00"/>
    <s v="INR"/>
    <n v="1151810.98"/>
    <d v="2026-06-07T00:00:00"/>
    <d v="2026-04-27T00:00:00"/>
    <d v="2026-06-27T00:00:00"/>
    <s v="2000146217"/>
    <d v="2026-04-24T00:00:00"/>
    <m/>
    <m/>
    <s v="GBT60M11A-STR439M/STUBLR3L W FENCE"/>
    <n v="1036629.882"/>
    <n v="7.6999999999999999E-2"/>
    <n v="61"/>
    <n v="13340"/>
    <n v="1023289.882"/>
    <m/>
    <m/>
    <m/>
    <m/>
    <m/>
    <m/>
    <n v="218848189.02000001"/>
  </r>
  <r>
    <n v="6"/>
    <n v="89"/>
    <s v="FABIND9INRDZI"/>
    <x v="2"/>
    <s v="I"/>
    <s v="FI2627000201"/>
    <d v="2026-04-26T00:00:00"/>
    <s v="INR"/>
    <n v="766484.34"/>
    <d v="2026-06-09T00:00:00"/>
    <d v="2026-04-27T00:00:00"/>
    <d v="2026-06-29T00:00:00"/>
    <s v="2000146236"/>
    <d v="2026-04-26T00:00:00"/>
    <m/>
    <m/>
    <s v="TOWER12A TUBULR3 LEG W PLT &amp; FNCE-FAB"/>
    <n v="689835.90599999996"/>
    <n v="7.6999999999999999E-2"/>
    <n v="63"/>
    <n v="9168"/>
    <n v="680667.90599999996"/>
    <m/>
    <m/>
    <m/>
    <m/>
    <m/>
    <m/>
    <n v="219233515.66"/>
  </r>
  <r>
    <n v="0"/>
    <n v="90"/>
    <s v="FABIND9INRDZI"/>
    <x v="3"/>
    <s v="I"/>
    <s v="FI2526007253"/>
    <d v="2025-12-29T00:00:00"/>
    <s v="INR"/>
    <n v="17142711.34"/>
    <d v="2026-04-28T00:00:00"/>
    <d v="2026-02-09T00:00:00"/>
    <d v="2026-05-18T00:00:00"/>
    <m/>
    <d v="2025-12-29T00:00:00"/>
    <m/>
    <m/>
    <m/>
    <n v="15428440.206"/>
    <n v="7.6999999999999999E-2"/>
    <n v="98"/>
    <n v="318967"/>
    <n v="15109473.206"/>
    <m/>
    <m/>
    <m/>
    <m/>
    <m/>
    <m/>
    <n v="66187288.659999996"/>
  </r>
  <r>
    <n v="0"/>
    <n v="91"/>
    <s v="FABIND9INRDZI"/>
    <x v="3"/>
    <s v="I"/>
    <s v="FI2526007571"/>
    <d v="2026-01-15T00:00:00"/>
    <s v="INR"/>
    <n v="40214"/>
    <d v="2026-05-15T00:00:00"/>
    <d v="2026-02-09T00:00:00"/>
    <d v="2026-06-04T00:00:00"/>
    <m/>
    <d v="2026-01-15T00:00:00"/>
    <m/>
    <m/>
    <m/>
    <n v="36192.6"/>
    <n v="7.6999999999999999E-2"/>
    <n v="115"/>
    <n v="878"/>
    <n v="35314.6"/>
    <m/>
    <m/>
    <m/>
    <m/>
    <m/>
    <m/>
    <n v="83289786"/>
  </r>
  <r>
    <n v="0"/>
    <n v="92"/>
    <s v="FABIND9INRDZI"/>
    <x v="3"/>
    <s v="I"/>
    <s v="FI2526007776"/>
    <d v="2026-01-21T00:00:00"/>
    <s v="INR"/>
    <n v="10602"/>
    <d v="2026-05-21T00:00:00"/>
    <d v="2026-02-09T00:00:00"/>
    <d v="2026-06-10T00:00:00"/>
    <m/>
    <d v="2026-01-21T00:00:00"/>
    <m/>
    <m/>
    <m/>
    <n v="9541.8000000000011"/>
    <n v="7.6999999999999999E-2"/>
    <n v="121"/>
    <n v="244"/>
    <n v="9297.8000000000011"/>
    <m/>
    <m/>
    <m/>
    <m/>
    <m/>
    <m/>
    <n v="83319398"/>
  </r>
  <r>
    <n v="0"/>
    <n v="93"/>
    <s v="FABIND9INRDZI"/>
    <x v="3"/>
    <s v="I"/>
    <s v="FI2526007863"/>
    <d v="2026-01-24T00:00:00"/>
    <s v="INR"/>
    <n v="4838730"/>
    <d v="2026-05-24T00:00:00"/>
    <d v="2026-02-09T00:00:00"/>
    <d v="2026-06-13T00:00:00"/>
    <m/>
    <d v="2026-01-24T00:00:00"/>
    <m/>
    <m/>
    <m/>
    <n v="4354857"/>
    <n v="7.6999999999999999E-2"/>
    <n v="124"/>
    <n v="113918"/>
    <n v="4240939"/>
    <m/>
    <m/>
    <m/>
    <m/>
    <m/>
    <m/>
    <n v="78491270"/>
  </r>
  <r>
    <n v="0"/>
    <n v="94"/>
    <s v="FABIND9INRDZI"/>
    <x v="3"/>
    <s v="I"/>
    <s v="FI2526008626"/>
    <d v="2026-02-19T00:00:00"/>
    <s v="INR"/>
    <n v="84594.2"/>
    <d v="2026-06-19T00:00:00"/>
    <d v="2026-04-17T00:00:00"/>
    <d v="2026-07-09T00:00:00"/>
    <m/>
    <d v="2026-02-19T00:00:00"/>
    <m/>
    <m/>
    <m/>
    <n v="76134.78"/>
    <n v="7.6999999999999999E-2"/>
    <n v="83"/>
    <n v="1333"/>
    <n v="74801.78"/>
    <m/>
    <m/>
    <m/>
    <m/>
    <m/>
    <m/>
    <n v="83245405.799999997"/>
  </r>
  <r>
    <n v="0"/>
    <n v="95"/>
    <s v="FABIND9INRDZI"/>
    <x v="3"/>
    <s v="I"/>
    <s v="FI2526008627"/>
    <d v="2026-02-19T00:00:00"/>
    <s v="INR"/>
    <n v="92346.8"/>
    <d v="2026-06-19T00:00:00"/>
    <d v="2026-04-17T00:00:00"/>
    <d v="2026-07-09T00:00:00"/>
    <m/>
    <d v="2026-02-19T00:00:00"/>
    <m/>
    <m/>
    <m/>
    <n v="83112.12000000001"/>
    <n v="7.6999999999999999E-2"/>
    <n v="83"/>
    <n v="1455"/>
    <n v="81657.12000000001"/>
    <m/>
    <m/>
    <m/>
    <m/>
    <m/>
    <m/>
    <n v="83237653.200000003"/>
  </r>
  <r>
    <n v="0"/>
    <n v="96"/>
    <s v="FABIND9INRDZI"/>
    <x v="3"/>
    <s v="I"/>
    <s v="FI2526008643"/>
    <d v="2026-02-20T00:00:00"/>
    <s v="INR"/>
    <n v="8340.24"/>
    <d v="2026-06-20T00:00:00"/>
    <d v="2026-04-17T00:00:00"/>
    <d v="2026-07-10T00:00:00"/>
    <m/>
    <d v="2026-02-20T00:00:00"/>
    <m/>
    <m/>
    <m/>
    <n v="7506.2160000000003"/>
    <n v="7.6999999999999999E-2"/>
    <n v="84"/>
    <n v="133"/>
    <n v="7373.2160000000003"/>
    <m/>
    <m/>
    <m/>
    <m/>
    <m/>
    <m/>
    <n v="83321659.760000005"/>
  </r>
  <r>
    <n v="0"/>
    <n v="97"/>
    <s v="FABIND9INRDZI"/>
    <x v="3"/>
    <s v="I"/>
    <s v="FI2526008847"/>
    <d v="2026-02-24T00:00:00"/>
    <s v="INR"/>
    <n v="1324019"/>
    <d v="2026-06-24T00:00:00"/>
    <d v="2026-04-17T00:00:00"/>
    <d v="2026-07-14T00:00:00"/>
    <m/>
    <d v="2026-02-24T00:00:00"/>
    <m/>
    <m/>
    <m/>
    <n v="1191617.1000000001"/>
    <n v="7.6999999999999999E-2"/>
    <n v="88"/>
    <n v="22122"/>
    <n v="1169495.1000000001"/>
    <m/>
    <m/>
    <m/>
    <m/>
    <m/>
    <m/>
    <n v="82005981"/>
  </r>
  <r>
    <n v="0"/>
    <n v="98"/>
    <s v="FABIND9INRDZI"/>
    <x v="3"/>
    <s v="I"/>
    <s v="FI2526009296"/>
    <d v="2026-03-10T00:00:00"/>
    <s v="INR"/>
    <n v="548932.46"/>
    <d v="2026-07-08T00:00:00"/>
    <d v="2026-04-17T00:00:00"/>
    <d v="2026-07-28T00:00:00"/>
    <m/>
    <d v="2026-03-10T00:00:00"/>
    <m/>
    <m/>
    <m/>
    <n v="494039.21399999998"/>
    <n v="7.6999999999999999E-2"/>
    <n v="102"/>
    <n v="10631"/>
    <n v="483408.21399999998"/>
    <m/>
    <m/>
    <m/>
    <m/>
    <m/>
    <m/>
    <n v="82781067.540000007"/>
  </r>
  <r>
    <n v="0"/>
    <n v="99"/>
    <s v="FABIND9INRDZI"/>
    <x v="3"/>
    <s v="I"/>
    <s v="FI2526009297"/>
    <d v="2026-03-10T00:00:00"/>
    <s v="INR"/>
    <n v="1132374.02"/>
    <d v="2026-07-08T00:00:00"/>
    <d v="2026-04-17T00:00:00"/>
    <d v="2026-07-28T00:00:00"/>
    <m/>
    <d v="2026-03-10T00:00:00"/>
    <m/>
    <m/>
    <m/>
    <n v="1019136.618"/>
    <n v="7.6999999999999999E-2"/>
    <n v="102"/>
    <n v="21930"/>
    <n v="997206.61800000002"/>
    <m/>
    <m/>
    <m/>
    <m/>
    <m/>
    <m/>
    <n v="82197625.980000004"/>
  </r>
  <r>
    <n v="0"/>
    <n v="100"/>
    <s v="FABIND9INRDZI"/>
    <x v="3"/>
    <s v="I"/>
    <s v="FI2526009375"/>
    <d v="2026-03-13T00:00:00"/>
    <s v="INR"/>
    <n v="2100392.92"/>
    <d v="2026-07-11T00:00:00"/>
    <d v="2026-04-17T00:00:00"/>
    <d v="2026-07-31T00:00:00"/>
    <m/>
    <d v="2026-03-13T00:00:00"/>
    <m/>
    <m/>
    <m/>
    <n v="1890353.628"/>
    <n v="7.6999999999999999E-2"/>
    <n v="105"/>
    <n v="41873"/>
    <n v="1848480.628"/>
    <m/>
    <m/>
    <m/>
    <m/>
    <m/>
    <m/>
    <n v="81229607.079999998"/>
  </r>
  <r>
    <n v="0"/>
    <n v="101"/>
    <s v="FABIND9INRDZI"/>
    <x v="3"/>
    <s v="I"/>
    <s v="FI2526009442"/>
    <d v="2026-03-16T00:00:00"/>
    <s v="INR"/>
    <n v="2956569.06"/>
    <d v="2026-07-14T00:00:00"/>
    <d v="2026-04-17T00:00:00"/>
    <d v="2026-08-03T00:00:00"/>
    <m/>
    <d v="2026-03-16T00:00:00"/>
    <m/>
    <m/>
    <m/>
    <n v="2660912.1540000001"/>
    <n v="7.6999999999999999E-2"/>
    <n v="108"/>
    <n v="60625"/>
    <n v="2600287.1540000001"/>
    <m/>
    <m/>
    <m/>
    <m/>
    <m/>
    <m/>
    <n v="80373430.939999998"/>
  </r>
  <r>
    <n v="0"/>
    <n v="102"/>
    <s v="FABIND9INRDZI"/>
    <x v="3"/>
    <s v="I"/>
    <s v="FI2526009688"/>
    <d v="2026-03-26T00:00:00"/>
    <s v="INR"/>
    <n v="451109.28"/>
    <d v="2026-07-24T00:00:00"/>
    <d v="2026-04-17T00:00:00"/>
    <d v="2026-08-13T00:00:00"/>
    <m/>
    <d v="2026-03-26T00:00:00"/>
    <m/>
    <m/>
    <m/>
    <n v="405998.35200000001"/>
    <n v="7.6999999999999999E-2"/>
    <n v="118"/>
    <n v="10107"/>
    <n v="395891.35200000001"/>
    <m/>
    <m/>
    <m/>
    <m/>
    <m/>
    <m/>
    <n v="82878890.719999999"/>
  </r>
  <r>
    <n v="0"/>
    <n v="103"/>
    <s v="FABIND9INRDZI"/>
    <x v="3"/>
    <s v="I"/>
    <s v="FI2526009689"/>
    <d v="2026-03-26T00:00:00"/>
    <s v="INR"/>
    <n v="155809.56"/>
    <d v="2026-07-24T00:00:00"/>
    <d v="2026-04-17T00:00:00"/>
    <d v="2026-08-13T00:00:00"/>
    <m/>
    <d v="2026-03-26T00:00:00"/>
    <m/>
    <m/>
    <m/>
    <n v="140228.60399999999"/>
    <n v="7.6999999999999999E-2"/>
    <n v="118"/>
    <n v="3491"/>
    <n v="136737.60399999999"/>
    <m/>
    <m/>
    <m/>
    <m/>
    <m/>
    <m/>
    <n v="83174190.439999998"/>
  </r>
  <r>
    <n v="0"/>
    <n v="104"/>
    <s v="FABIND9INRDZI"/>
    <x v="3"/>
    <s v="I"/>
    <s v="FI2526009710"/>
    <d v="2026-03-30T00:00:00"/>
    <s v="INR"/>
    <n v="1625674.2"/>
    <d v="2026-07-28T00:00:00"/>
    <d v="2026-04-17T00:00:00"/>
    <d v="2026-08-17T00:00:00"/>
    <m/>
    <d v="2026-03-30T00:00:00"/>
    <m/>
    <m/>
    <m/>
    <n v="1463106.78"/>
    <n v="7.6999999999999999E-2"/>
    <n v="122"/>
    <n v="37656"/>
    <n v="1425450.78"/>
    <m/>
    <m/>
    <m/>
    <m/>
    <m/>
    <m/>
    <n v="81704325.799999997"/>
  </r>
  <r>
    <n v="0"/>
    <n v="105"/>
    <s v="FABIND9INRDZI"/>
    <x v="3"/>
    <s v="I"/>
    <s v="FI2526009711"/>
    <d v="2026-03-30T00:00:00"/>
    <s v="INR"/>
    <n v="1627034.74"/>
    <d v="2026-07-28T00:00:00"/>
    <d v="2026-04-17T00:00:00"/>
    <d v="2026-08-17T00:00:00"/>
    <m/>
    <d v="2026-03-30T00:00:00"/>
    <m/>
    <m/>
    <m/>
    <n v="1464331.2660000001"/>
    <n v="7.6999999999999999E-2"/>
    <n v="122"/>
    <n v="37687"/>
    <n v="1426644.2660000001"/>
    <m/>
    <m/>
    <m/>
    <m/>
    <m/>
    <m/>
    <n v="81702965.260000005"/>
  </r>
  <r>
    <n v="1"/>
    <n v="106"/>
    <s v="FABIND9INRDZI"/>
    <x v="3"/>
    <s v="I"/>
    <s v="FI2627000103"/>
    <d v="2026-04-17T00:00:00"/>
    <s v="INR"/>
    <n v="5560.16"/>
    <d v="2026-08-15T00:00:00"/>
    <d v="2026-04-23T00:00:00"/>
    <d v="2026-09-04T00:00:00"/>
    <n v="91749"/>
    <d v="2026-04-17T00:00:00"/>
    <m/>
    <m/>
    <s v="C1B1124001756002-Suprt Plate Bsbr 2 Bsbr"/>
    <n v="5004.1440000000002"/>
    <n v="7.6999999999999999E-2"/>
    <n v="134"/>
    <n v="141"/>
    <n v="4863.1440000000002"/>
    <m/>
    <m/>
    <m/>
    <m/>
    <m/>
    <m/>
    <n v="83324439.840000004"/>
  </r>
  <r>
    <n v="1"/>
    <n v="107"/>
    <s v="FABIND9INRDZI"/>
    <x v="3"/>
    <s v="I"/>
    <s v="FI2627000138"/>
    <d v="2026-04-21T00:00:00"/>
    <s v="INR"/>
    <n v="357129.36"/>
    <d v="2026-08-19T00:00:00"/>
    <d v="2026-04-23T00:00:00"/>
    <d v="2026-09-08T00:00:00"/>
    <s v="NSK/7547"/>
    <d v="2026-04-21T00:00:00"/>
    <m/>
    <m/>
    <s v="PTD5903864004-Struct ISA 65X65X6"/>
    <n v="321416.424"/>
    <n v="7.6999999999999999E-2"/>
    <n v="138"/>
    <n v="9357"/>
    <n v="312059.424"/>
    <m/>
    <m/>
    <m/>
    <m/>
    <m/>
    <m/>
    <n v="82972870.640000001"/>
  </r>
  <r>
    <n v="1"/>
    <n v="108"/>
    <s v="FABIND9INRDZI"/>
    <x v="3"/>
    <s v="I"/>
    <s v="FI2627000141"/>
    <d v="2026-04-21T00:00:00"/>
    <s v="INR"/>
    <n v="418134.18"/>
    <d v="2026-08-19T00:00:00"/>
    <d v="2026-04-23T00:00:00"/>
    <d v="2026-09-08T00:00:00"/>
    <s v="NSK/7546"/>
    <d v="2026-04-21T00:00:00"/>
    <m/>
    <m/>
    <s v="PTD5903894001-Struct ISA 7575X8-3230L"/>
    <n v="376320.76199999999"/>
    <n v="7.6999999999999999E-2"/>
    <n v="138"/>
    <n v="10956"/>
    <n v="365364.76199999999"/>
    <m/>
    <m/>
    <m/>
    <m/>
    <m/>
    <m/>
    <n v="82911865.819999993"/>
  </r>
  <r>
    <n v="1"/>
    <n v="109"/>
    <s v="FABIND9INRDZI"/>
    <x v="3"/>
    <s v="I"/>
    <s v="FI2627000145"/>
    <d v="2026-04-21T00:00:00"/>
    <s v="INR"/>
    <n v="479139"/>
    <d v="2026-08-19T00:00:00"/>
    <d v="2026-04-23T00:00:00"/>
    <d v="2026-09-08T00:00:00"/>
    <s v="NSK/7545"/>
    <d v="2026-04-21T00:00:00"/>
    <m/>
    <m/>
    <s v="PTD5903754003-FB M39 X1080"/>
    <n v="431225.10000000003"/>
    <n v="7.6999999999999999E-2"/>
    <n v="138"/>
    <n v="12554"/>
    <n v="418671.10000000003"/>
    <m/>
    <m/>
    <m/>
    <m/>
    <m/>
    <m/>
    <n v="82850861"/>
  </r>
  <r>
    <n v="1"/>
    <n v="110"/>
    <s v="FABIND9INRDZI"/>
    <x v="3"/>
    <s v="I"/>
    <s v="FI2627000147"/>
    <d v="2026-04-21T00:00:00"/>
    <s v="INR"/>
    <n v="692866.5"/>
    <d v="2026-08-19T00:00:00"/>
    <d v="2026-04-23T00:00:00"/>
    <d v="2026-09-08T00:00:00"/>
    <s v="NSK/7548"/>
    <d v="2026-04-21T00:00:00"/>
    <m/>
    <m/>
    <s v="PTD5903754002 FB M36X1080 Non-PG 420 KV"/>
    <n v="623579.85"/>
    <n v="7.6999999999999999E-2"/>
    <n v="138"/>
    <n v="18154"/>
    <n v="605425.85"/>
    <m/>
    <m/>
    <m/>
    <m/>
    <m/>
    <m/>
    <n v="82637133.5"/>
  </r>
  <r>
    <n v="2"/>
    <n v="111"/>
    <s v="FABIND9INRDZI"/>
    <x v="3"/>
    <s v="I"/>
    <s v="FI2627000162"/>
    <d v="2026-04-22T00:00:00"/>
    <s v="INR"/>
    <n v="155809.56"/>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x v="3"/>
    <s v="I"/>
    <s v="FI2627000163"/>
    <d v="2026-04-22T00:00:00"/>
    <s v="INR"/>
    <n v="230361.96"/>
    <d v="2026-08-20T00:00:00"/>
    <d v="2026-04-23T00:00:00"/>
    <d v="2026-09-09T00:00:00"/>
    <s v="NSK/7582"/>
    <d v="2026-04-22T00:00:00"/>
    <m/>
    <m/>
    <s v="PTD5903542001-Platform wt Ladder 1450 Ht"/>
    <n v="207325.764"/>
    <n v="7.6999999999999999E-2"/>
    <n v="139"/>
    <n v="6079"/>
    <n v="201246.764"/>
    <m/>
    <m/>
    <m/>
    <m/>
    <m/>
    <m/>
    <n v="83099638.040000007"/>
  </r>
  <r>
    <n v="3"/>
    <n v="113"/>
    <s v="FABIND9INRDZI"/>
    <x v="3"/>
    <s v="I"/>
    <s v="FI2627000166"/>
    <d v="2026-04-23T00:00:00"/>
    <s v="INR"/>
    <n v="129841.3"/>
    <d v="2026-08-21T00:00:00"/>
    <d v="2026-04-23T00:00:00"/>
    <d v="2026-09-10T00:00:00"/>
    <s v="NSK/7583"/>
    <d v="2026-04-23T00:00:00"/>
    <m/>
    <m/>
    <s v="PTD5903542001-Platform wt Ladder 1450 Ht"/>
    <n v="116857.17"/>
    <n v="7.6999999999999999E-2"/>
    <n v="140"/>
    <n v="3451"/>
    <n v="113406.17"/>
    <m/>
    <m/>
    <m/>
    <m/>
    <m/>
    <m/>
    <n v="83200158.700000003"/>
  </r>
  <r>
    <n v="3"/>
    <n v="114"/>
    <s v="FABIND9INRDZI"/>
    <x v="3"/>
    <s v="I"/>
    <s v="FI2627000174"/>
    <d v="2026-04-23T00:00:00"/>
    <s v="INR"/>
    <n v="150509"/>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n v="1"/>
    <n v="1"/>
    <s v="FABIND9INRDZI"/>
    <x v="0"/>
    <s v="I"/>
    <s v="FI2627000000"/>
    <d v="2026-04-02T00:00:00"/>
    <s v="INR"/>
    <n v="561855.81999999995"/>
    <d v="2026-05-12T00:00:00"/>
    <d v="2026-04-17T00:00:00"/>
    <d v="2026-06-01T00:00:00"/>
    <n v="10001"/>
    <d v="2026-04-02T00:00:00"/>
    <m/>
    <m/>
    <s v="NBT 40Mtr Tower"/>
    <n v="505670.23799999995"/>
    <n v="7.6999999999999999E-2"/>
    <n v="45"/>
    <n v="4800"/>
    <n v="500870.23799999995"/>
    <m/>
    <m/>
    <m/>
    <m/>
    <n v="46174"/>
    <n v="4925227"/>
    <n v="274438144.18000001"/>
  </r>
  <r>
    <n v="1"/>
    <n v="2"/>
    <s v="FABIND9INRDZI"/>
    <x v="0"/>
    <s v="I"/>
    <s v="FI2627000001"/>
    <d v="2026-04-02T00:00:00"/>
    <s v="INR"/>
    <n v="561855.81999999995"/>
    <d v="2026-05-12T00:00:00"/>
    <d v="2026-04-17T00:00:00"/>
    <d v="2026-06-01T00:00:00"/>
    <n v="10003"/>
    <d v="2026-04-02T00:00:00"/>
    <m/>
    <m/>
    <s v="NBT 40Mtr Tower"/>
    <n v="505670.23799999995"/>
    <n v="7.6999999999999999E-2"/>
    <n v="45"/>
    <n v="4800"/>
    <n v="500870.23799999995"/>
    <m/>
    <m/>
    <m/>
    <m/>
    <m/>
    <m/>
    <n v="274438144.18000001"/>
  </r>
  <r>
    <n v="1"/>
    <n v="3"/>
    <s v="FABIND9INRDZI"/>
    <x v="0"/>
    <s v="I"/>
    <s v="FI2627000002"/>
    <d v="2026-04-02T00:00:00"/>
    <s v="INR"/>
    <n v="561855.81999999995"/>
    <d v="2026-05-12T00:00:00"/>
    <d v="2026-04-17T00:00:00"/>
    <d v="2026-06-01T00:00:00"/>
    <n v="10002"/>
    <d v="2026-04-02T00:00:00"/>
    <m/>
    <m/>
    <s v="NBT 40Mtr Tower"/>
    <n v="505670.23799999995"/>
    <n v="7.6999999999999999E-2"/>
    <n v="45"/>
    <n v="4800"/>
    <n v="500870.23799999995"/>
    <m/>
    <m/>
    <m/>
    <m/>
    <m/>
    <m/>
    <n v="274438144.18000001"/>
  </r>
  <r>
    <n v="1"/>
    <n v="4"/>
    <s v="FABIND9INRDZI"/>
    <x v="0"/>
    <s v="I"/>
    <s v="FI2627000003"/>
    <d v="2026-04-02T00:00:00"/>
    <s v="INR"/>
    <n v="561855.81999999995"/>
    <d v="2026-05-12T00:00:00"/>
    <d v="2026-04-17T00:00:00"/>
    <d v="2026-06-01T00:00:00"/>
    <n v="10004"/>
    <d v="2026-04-02T00:00:00"/>
    <m/>
    <m/>
    <s v="NBT 40Mtr Tower"/>
    <n v="505670.23799999995"/>
    <n v="7.6999999999999999E-2"/>
    <n v="45"/>
    <n v="4800"/>
    <n v="500870.23799999995"/>
    <m/>
    <m/>
    <m/>
    <m/>
    <m/>
    <m/>
    <n v="274438144.18000001"/>
  </r>
  <r>
    <n v="1"/>
    <n v="5"/>
    <s v="FABIND9INRDZI"/>
    <x v="0"/>
    <s v="I"/>
    <s v="FI2627000005"/>
    <d v="2026-04-03T00:00:00"/>
    <s v="INR"/>
    <n v="561855.81999999995"/>
    <d v="2026-05-13T00:00:00"/>
    <d v="2026-04-17T00:00:00"/>
    <d v="2026-06-02T00:00:00"/>
    <n v="10005"/>
    <d v="2026-04-03T00:00:00"/>
    <m/>
    <m/>
    <s v="NBT 40Mtr Tower"/>
    <n v="505670.23799999995"/>
    <n v="7.6999999999999999E-2"/>
    <n v="46"/>
    <n v="4907"/>
    <n v="500763.23799999995"/>
    <m/>
    <m/>
    <m/>
    <m/>
    <m/>
    <m/>
    <n v="274438144.18000001"/>
  </r>
  <r>
    <n v="1"/>
    <n v="6"/>
    <s v="FABIND9INRDZI"/>
    <x v="0"/>
    <s v="I"/>
    <s v="FI2627000006"/>
    <d v="2026-04-03T00:00:00"/>
    <s v="INR"/>
    <n v="561855.81999999995"/>
    <d v="2026-05-13T00:00:00"/>
    <d v="2026-04-17T00:00:00"/>
    <d v="2026-06-02T00:00:00"/>
    <n v="10006"/>
    <d v="2026-04-03T00:00:00"/>
    <m/>
    <m/>
    <s v="NBT 40Mtr Tower"/>
    <n v="505670.23799999995"/>
    <n v="7.6999999999999999E-2"/>
    <n v="46"/>
    <n v="4907"/>
    <n v="500763.23799999995"/>
    <m/>
    <m/>
    <m/>
    <m/>
    <m/>
    <m/>
    <n v="274438144.18000001"/>
  </r>
  <r>
    <n v="1"/>
    <n v="7"/>
    <s v="FABIND9INRDZI"/>
    <x v="0"/>
    <s v="I"/>
    <s v="FI2627000016"/>
    <d v="2026-04-03T00:00:00"/>
    <s v="INR"/>
    <n v="442595.58"/>
    <d v="2026-05-13T00:00:00"/>
    <d v="2026-04-17T00:00:00"/>
    <d v="2026-06-02T00:00:00"/>
    <n v="10007"/>
    <d v="2026-04-03T00:00:00"/>
    <m/>
    <m/>
    <s v="TOWER GBT 3Legged VM 30M 170KMPH"/>
    <n v="398336.022"/>
    <n v="7.6999999999999999E-2"/>
    <n v="46"/>
    <n v="3865"/>
    <n v="394471.022"/>
    <m/>
    <m/>
    <m/>
    <m/>
    <m/>
    <m/>
    <n v="274557404.42000002"/>
  </r>
  <r>
    <n v="1"/>
    <n v="8"/>
    <s v="FABIND9INRDZI"/>
    <x v="0"/>
    <s v="I"/>
    <s v="FI2627000027"/>
    <d v="2026-04-05T00:00:00"/>
    <s v="INR"/>
    <n v="752314.9"/>
    <d v="2026-05-15T00:00:00"/>
    <d v="2026-04-17T00:00:00"/>
    <d v="2026-06-04T00:00:00"/>
    <n v="78287"/>
    <d v="2026-04-05T00:00:00"/>
    <m/>
    <m/>
    <s v="BIL - Tower GBT 40M 200 KMPH"/>
    <n v="677083.41"/>
    <n v="7.6999999999999999E-2"/>
    <n v="48"/>
    <n v="6856"/>
    <n v="670227.41"/>
    <m/>
    <m/>
    <m/>
    <m/>
    <m/>
    <m/>
    <n v="274247685.10000002"/>
  </r>
  <r>
    <n v="1"/>
    <n v="9"/>
    <s v="FABIND9INRDZI"/>
    <x v="0"/>
    <s v="I"/>
    <s v="FI2627000030"/>
    <d v="2026-04-05T00:00:00"/>
    <s v="INR"/>
    <n v="689850.92"/>
    <d v="2026-05-15T00:00:00"/>
    <d v="2026-04-17T00:00:00"/>
    <d v="2026-06-04T00:00:00"/>
    <n v="10010"/>
    <d v="2026-04-05T00:00:00"/>
    <m/>
    <m/>
    <s v="INDUS SOLAR STRUCTURE(2PX5-30/20 DEGREE)"/>
    <n v="620865.8280000001"/>
    <n v="7.6999999999999999E-2"/>
    <n v="48"/>
    <n v="6287"/>
    <n v="614578.8280000001"/>
    <m/>
    <m/>
    <m/>
    <m/>
    <m/>
    <m/>
    <n v="274310149.07999998"/>
  </r>
  <r>
    <n v="1"/>
    <n v="10"/>
    <s v="FABIND9INRDZI"/>
    <x v="0"/>
    <s v="I"/>
    <s v="FI2627000031"/>
    <d v="2026-04-05T00:00:00"/>
    <s v="INR"/>
    <n v="689850.92"/>
    <d v="2026-05-15T00:00:00"/>
    <d v="2026-04-17T00:00:00"/>
    <d v="2026-06-04T00:00:00"/>
    <n v="10011"/>
    <d v="2026-04-05T00:00:00"/>
    <m/>
    <m/>
    <s v="INDUS SOLAR STRUCTURE(2PX5-30/20 DEGREE)"/>
    <n v="620865.8280000001"/>
    <n v="7.6999999999999999E-2"/>
    <n v="48"/>
    <n v="6287"/>
    <n v="614578.8280000001"/>
    <m/>
    <m/>
    <m/>
    <m/>
    <m/>
    <m/>
    <n v="274310149.07999998"/>
  </r>
  <r>
    <n v="1"/>
    <n v="11"/>
    <s v="FABIND9INRDZI"/>
    <x v="0"/>
    <s v="I"/>
    <s v="FI2627000032"/>
    <d v="2026-04-05T00:00:00"/>
    <s v="INR"/>
    <n v="232106"/>
    <d v="2026-05-15T00:00:00"/>
    <d v="2026-04-17T00:00:00"/>
    <d v="2026-06-04T00:00:00"/>
    <n v="10014"/>
    <d v="2026-04-05T00:00:00"/>
    <m/>
    <m/>
    <s v="CIP RITA 15MTR"/>
    <n v="208895.4"/>
    <n v="7.6999999999999999E-2"/>
    <n v="48"/>
    <n v="2115"/>
    <n v="206780.4"/>
    <m/>
    <m/>
    <m/>
    <m/>
    <m/>
    <m/>
    <n v="274767894"/>
  </r>
  <r>
    <n v="2"/>
    <n v="12"/>
    <s v="FABIND9INRDZI"/>
    <x v="0"/>
    <s v="I"/>
    <s v="FI2627000043"/>
    <d v="2026-04-06T00:00:00"/>
    <s v="INR"/>
    <n v="647363.34"/>
    <d v="2026-05-16T00:00:00"/>
    <d v="2026-04-17T00:00:00"/>
    <d v="2026-06-05T00:00:00"/>
    <n v="10016"/>
    <d v="2026-04-06T00:00:00"/>
    <m/>
    <m/>
    <s v="TowerGBT-3 Leg Tubular VT30M 200 KMPH"/>
    <n v="582627.00599999994"/>
    <n v="7.6999999999999999E-2"/>
    <n v="49"/>
    <n v="6023"/>
    <n v="576604.00599999994"/>
    <m/>
    <m/>
    <m/>
    <m/>
    <m/>
    <m/>
    <n v="274352636.66000003"/>
  </r>
  <r>
    <n v="2"/>
    <n v="13"/>
    <s v="FABIND9INRDZI"/>
    <x v="0"/>
    <s v="I"/>
    <s v="FI2627000044"/>
    <d v="2026-04-06T00:00:00"/>
    <s v="INR"/>
    <n v="647363.34"/>
    <d v="2026-05-16T00:00:00"/>
    <d v="2026-04-17T00:00:00"/>
    <d v="2026-06-05T00:00:00"/>
    <n v="10017"/>
    <d v="2026-04-06T00:00:00"/>
    <m/>
    <m/>
    <s v="TowerGBT-3 Leg Tubular VT30M 200 KMPH"/>
    <n v="582627.00599999994"/>
    <n v="7.6999999999999999E-2"/>
    <n v="49"/>
    <n v="6023"/>
    <n v="576604.00599999994"/>
    <m/>
    <m/>
    <m/>
    <m/>
    <m/>
    <m/>
    <n v="274352636.66000003"/>
  </r>
  <r>
    <n v="2"/>
    <n v="14"/>
    <s v="FABIND9INRDZI"/>
    <x v="0"/>
    <s v="I"/>
    <s v="FI2627000045"/>
    <d v="2026-04-06T00:00:00"/>
    <s v="INR"/>
    <n v="647363.34"/>
    <d v="2026-05-16T00:00:00"/>
    <d v="2026-04-17T00:00:00"/>
    <d v="2026-06-05T00:00:00"/>
    <n v="10018"/>
    <d v="2026-04-06T00:00:00"/>
    <m/>
    <m/>
    <s v="TowerGBT-3 Leg Tubular VT30M 200 KMPH"/>
    <n v="582627.00599999994"/>
    <n v="7.6999999999999999E-2"/>
    <n v="49"/>
    <n v="6023"/>
    <n v="576604.00599999994"/>
    <m/>
    <m/>
    <m/>
    <m/>
    <m/>
    <m/>
    <n v="274352636.66000003"/>
  </r>
  <r>
    <n v="2"/>
    <n v="15"/>
    <s v="FABIND9INRDZI"/>
    <x v="0"/>
    <s v="I"/>
    <s v="FI2627000047"/>
    <d v="2026-04-06T00:00:00"/>
    <s v="INR"/>
    <n v="647363.34"/>
    <d v="2026-05-16T00:00:00"/>
    <d v="2026-04-17T00:00:00"/>
    <d v="2026-06-05T00:00:00"/>
    <n v="10019"/>
    <d v="2026-04-06T00:00:00"/>
    <m/>
    <m/>
    <s v="TowerGBT-3 Leg Tubular VT30M 200 KMPH"/>
    <n v="582627.00599999994"/>
    <n v="7.6999999999999999E-2"/>
    <n v="49"/>
    <n v="6023"/>
    <n v="576604.00599999994"/>
    <m/>
    <m/>
    <m/>
    <m/>
    <m/>
    <m/>
    <n v="274352636.66000003"/>
  </r>
  <r>
    <n v="3"/>
    <n v="16"/>
    <s v="FABIND9INRDZI"/>
    <x v="0"/>
    <s v="I"/>
    <s v="FI2627000052"/>
    <d v="2026-04-08T00:00:00"/>
    <s v="INR"/>
    <n v="647363.34"/>
    <d v="2026-05-18T00:00:00"/>
    <d v="2026-04-17T00:00:00"/>
    <d v="2026-06-07T00:00:00"/>
    <n v="10020"/>
    <d v="2026-04-08T00:00:00"/>
    <m/>
    <m/>
    <s v="TowerGBT-3 Leg Tubular VT30M 200 KMPH"/>
    <n v="582627.00599999994"/>
    <n v="7.6999999999999999E-2"/>
    <n v="51"/>
    <n v="6268"/>
    <n v="576359.00599999994"/>
    <m/>
    <m/>
    <m/>
    <m/>
    <m/>
    <m/>
    <n v="274352636.66000003"/>
  </r>
  <r>
    <n v="3"/>
    <n v="17"/>
    <s v="FABIND9INRDZI"/>
    <x v="0"/>
    <s v="I"/>
    <s v="FI2627000063"/>
    <d v="2026-04-10T00:00:00"/>
    <s v="INR"/>
    <n v="774998.04"/>
    <d v="2026-05-20T00:00:00"/>
    <d v="2026-04-17T00:00:00"/>
    <d v="2026-06-09T00:00:00"/>
    <n v="778"/>
    <d v="2026-04-10T00:00:00"/>
    <m/>
    <m/>
    <s v="BIL - Tower GBT 40M 200 KMPH"/>
    <n v="697498.23600000003"/>
    <n v="7.6999999999999999E-2"/>
    <n v="53"/>
    <n v="7799"/>
    <n v="689699.23600000003"/>
    <m/>
    <m/>
    <m/>
    <m/>
    <m/>
    <m/>
    <n v="274225001.95999998"/>
  </r>
  <r>
    <n v="3"/>
    <n v="18"/>
    <s v="FABIND9INRDZI"/>
    <x v="0"/>
    <s v="I"/>
    <s v="FI2627000064"/>
    <d v="2026-04-10T00:00:00"/>
    <s v="INR"/>
    <n v="774998.04"/>
    <d v="2026-05-20T00:00:00"/>
    <d v="2026-04-17T00:00:00"/>
    <d v="2026-06-09T00:00:00"/>
    <n v="10024"/>
    <d v="2026-04-10T00:00:00"/>
    <m/>
    <m/>
    <s v="BIL - Tower GBT 40M 200 KMPH"/>
    <n v="697498.23600000003"/>
    <n v="7.6999999999999999E-2"/>
    <n v="53"/>
    <n v="7799"/>
    <n v="689699.23600000003"/>
    <m/>
    <m/>
    <m/>
    <m/>
    <m/>
    <m/>
    <n v="274225001.95999998"/>
  </r>
  <r>
    <n v="3"/>
    <n v="19"/>
    <s v="FABIND9INRDZI"/>
    <x v="0"/>
    <s v="I"/>
    <s v="FI2627000065"/>
    <d v="2026-04-10T00:00:00"/>
    <s v="INR"/>
    <n v="774998.04"/>
    <d v="2026-05-20T00:00:00"/>
    <d v="2026-04-17T00:00:00"/>
    <d v="2026-06-09T00:00:00"/>
    <n v="779"/>
    <d v="2026-04-10T00:00:00"/>
    <m/>
    <m/>
    <s v="BIL - Tower GBT 40M 200 KMPH"/>
    <n v="697498.23600000003"/>
    <n v="7.6999999999999999E-2"/>
    <n v="53"/>
    <n v="7799"/>
    <n v="689699.23600000003"/>
    <m/>
    <m/>
    <m/>
    <m/>
    <m/>
    <m/>
    <n v="274225001.95999998"/>
  </r>
  <r>
    <n v="3"/>
    <n v="20"/>
    <s v="FABIND9INRDZI"/>
    <x v="0"/>
    <s v="I"/>
    <s v="FI2627000066"/>
    <d v="2026-04-10T00:00:00"/>
    <s v="INR"/>
    <n v="774998.04"/>
    <d v="2026-05-20T00:00:00"/>
    <d v="2026-04-17T00:00:00"/>
    <d v="2026-06-09T00:00:00"/>
    <n v="10025"/>
    <d v="2026-04-10T00:00:00"/>
    <m/>
    <m/>
    <s v="BIL - Tower GBT 40M 200 KMPH"/>
    <n v="697498.23600000003"/>
    <n v="7.6999999999999999E-2"/>
    <n v="53"/>
    <n v="7799"/>
    <n v="689699.23600000003"/>
    <m/>
    <m/>
    <m/>
    <m/>
    <m/>
    <m/>
    <n v="274225001.95999998"/>
  </r>
  <r>
    <n v="3"/>
    <n v="21"/>
    <s v="FABIND9INRDZI"/>
    <x v="0"/>
    <s v="I"/>
    <s v="FI2627000067"/>
    <d v="2026-04-10T00:00:00"/>
    <s v="INR"/>
    <n v="774998.04"/>
    <d v="2026-05-20T00:00:00"/>
    <d v="2026-04-17T00:00:00"/>
    <d v="2026-06-09T00:00:00"/>
    <n v="10026"/>
    <d v="2026-04-10T00:00:00"/>
    <m/>
    <m/>
    <s v="BIL - Tower GBT 40M 200 KMPH"/>
    <n v="697498.23600000003"/>
    <n v="7.6999999999999999E-2"/>
    <n v="53"/>
    <n v="7799"/>
    <n v="689699.23600000003"/>
    <m/>
    <m/>
    <m/>
    <m/>
    <m/>
    <m/>
    <n v="274225001.95999998"/>
  </r>
  <r>
    <n v="3"/>
    <n v="22"/>
    <s v="FABIND9INRDZI"/>
    <x v="0"/>
    <s v="I"/>
    <s v="FI2627000069"/>
    <d v="2026-04-12T00:00:00"/>
    <s v="INR"/>
    <n v="647363.34"/>
    <d v="2026-05-22T00:00:00"/>
    <d v="2026-04-17T00:00:00"/>
    <d v="2026-06-11T00:00:00"/>
    <n v="780"/>
    <d v="2026-04-12T00:00:00"/>
    <m/>
    <m/>
    <s v="TowerGBT-3 Leg Tubular VT30M 200 KMPH"/>
    <n v="582627.00599999994"/>
    <n v="7.6999999999999999E-2"/>
    <n v="55"/>
    <n v="6760"/>
    <n v="575867.00599999994"/>
    <m/>
    <m/>
    <m/>
    <m/>
    <m/>
    <m/>
    <n v="274352636.66000003"/>
  </r>
  <r>
    <n v="3"/>
    <n v="23"/>
    <s v="FABIND9INRDZI"/>
    <x v="0"/>
    <s v="I"/>
    <s v="FI2627000070"/>
    <d v="2026-04-12T00:00:00"/>
    <s v="INR"/>
    <n v="147186.12"/>
    <d v="2026-05-22T00:00:00"/>
    <d v="2026-04-17T00:00:00"/>
    <d v="2026-06-11T00:00:00"/>
    <n v="781"/>
    <d v="2026-04-12T00:00:00"/>
    <m/>
    <m/>
    <s v="Cast In part GBT-3L TBLR VT30M 200KMPH"/>
    <n v="132467.508"/>
    <n v="7.6999999999999999E-2"/>
    <n v="55"/>
    <n v="1537"/>
    <n v="130930.508"/>
    <m/>
    <m/>
    <m/>
    <m/>
    <m/>
    <m/>
    <n v="274852813.88"/>
  </r>
  <r>
    <n v="3"/>
    <n v="24"/>
    <s v="FABIND9INRDZI"/>
    <x v="0"/>
    <s v="I"/>
    <s v="FI2627000071"/>
    <d v="2026-04-12T00:00:00"/>
    <s v="INR"/>
    <n v="774998.04"/>
    <d v="2026-05-22T00:00:00"/>
    <d v="2026-04-17T00:00:00"/>
    <d v="2026-06-11T00:00:00"/>
    <n v="10030"/>
    <d v="2026-04-12T00:00:00"/>
    <m/>
    <m/>
    <s v="BIL - Tower GBT 40M 200 KMPH"/>
    <n v="697498.23600000003"/>
    <n v="7.6999999999999999E-2"/>
    <n v="55"/>
    <n v="8093"/>
    <n v="689405.23600000003"/>
    <m/>
    <m/>
    <m/>
    <m/>
    <m/>
    <m/>
    <n v="274225001.95999998"/>
  </r>
  <r>
    <n v="3"/>
    <n v="25"/>
    <s v="FABIND9INRDZI"/>
    <x v="0"/>
    <s v="I"/>
    <s v="FI2627000072"/>
    <d v="2026-04-12T00:00:00"/>
    <s v="INR"/>
    <n v="774998.04"/>
    <d v="2026-05-22T00:00:00"/>
    <d v="2026-04-17T00:00:00"/>
    <d v="2026-06-11T00:00:00"/>
    <n v="10031"/>
    <d v="2026-04-12T00:00:00"/>
    <m/>
    <m/>
    <s v="BIL - Tower GBT 40M 200 KMPH"/>
    <n v="697498.23600000003"/>
    <n v="7.6999999999999999E-2"/>
    <n v="55"/>
    <n v="8093"/>
    <n v="689405.23600000003"/>
    <m/>
    <m/>
    <m/>
    <m/>
    <m/>
    <m/>
    <n v="274225001.95999998"/>
  </r>
  <r>
    <n v="3"/>
    <n v="26"/>
    <s v="FABIND9INRDZI"/>
    <x v="0"/>
    <s v="I"/>
    <s v="FI2627000077"/>
    <d v="2026-04-13T00:00:00"/>
    <s v="INR"/>
    <n v="774998.04"/>
    <d v="2026-05-23T00:00:00"/>
    <d v="2026-04-17T00:00:00"/>
    <d v="2026-06-12T00:00:00"/>
    <n v="78501"/>
    <d v="2026-04-13T00:00:00"/>
    <m/>
    <m/>
    <s v="BIL - Tower GBT 40M 200 KMPH"/>
    <n v="697498.23600000003"/>
    <n v="7.6999999999999999E-2"/>
    <n v="56"/>
    <n v="8240"/>
    <n v="689258.23600000003"/>
    <m/>
    <m/>
    <m/>
    <m/>
    <m/>
    <m/>
    <n v="274225001.95999998"/>
  </r>
  <r>
    <n v="3"/>
    <n v="27"/>
    <s v="FABIND9INRDZI"/>
    <x v="0"/>
    <s v="I"/>
    <s v="FI2627000078"/>
    <d v="2026-04-13T00:00:00"/>
    <s v="INR"/>
    <n v="774998.04"/>
    <d v="2026-05-23T00:00:00"/>
    <d v="2026-04-17T00:00:00"/>
    <d v="2026-06-12T00:00:00"/>
    <n v="78502"/>
    <d v="2026-04-13T00:00:00"/>
    <m/>
    <m/>
    <s v="BIL - Tower GBT 40M 200 KMPH"/>
    <n v="697498.23600000003"/>
    <n v="7.6999999999999999E-2"/>
    <n v="56"/>
    <n v="8240"/>
    <n v="689258.23600000003"/>
    <m/>
    <m/>
    <m/>
    <m/>
    <m/>
    <m/>
    <n v="274225001.95999998"/>
  </r>
  <r>
    <n v="3"/>
    <n v="28"/>
    <s v="FABIND9INRDZI"/>
    <x v="0"/>
    <s v="I"/>
    <s v="FI2627000079"/>
    <d v="2026-04-13T00:00:00"/>
    <s v="INR"/>
    <n v="774998.04"/>
    <d v="2026-05-23T00:00:00"/>
    <d v="2026-04-17T00:00:00"/>
    <d v="2026-06-12T00:00:00"/>
    <n v="78503"/>
    <d v="2026-04-13T00:00:00"/>
    <m/>
    <m/>
    <s v="BIL - Tower GBT 40M 200 KMPH"/>
    <n v="697498.23600000003"/>
    <n v="7.6999999999999999E-2"/>
    <n v="56"/>
    <n v="8240"/>
    <n v="689258.23600000003"/>
    <m/>
    <m/>
    <m/>
    <m/>
    <m/>
    <m/>
    <n v="274225001.95999998"/>
  </r>
  <r>
    <n v="4"/>
    <n v="29"/>
    <s v="FABIND9INRDZI"/>
    <x v="0"/>
    <s v="I"/>
    <s v="FI2627000084"/>
    <d v="2026-04-15T00:00:00"/>
    <s v="INR"/>
    <n v="661895.04"/>
    <d v="2026-05-25T00:00:00"/>
    <d v="2026-04-20T00:00:00"/>
    <d v="2026-06-14T00:00:00"/>
    <n v="78510"/>
    <d v="2026-04-15T00:00:00"/>
    <m/>
    <m/>
    <s v="TowerGBT-3 Leg Tubular VT30M 200 KMPH"/>
    <n v="595705.53600000008"/>
    <n v="7.6999999999999999E-2"/>
    <n v="55"/>
    <n v="6912"/>
    <n v="588793.53600000008"/>
    <m/>
    <m/>
    <m/>
    <m/>
    <m/>
    <m/>
    <n v="274338104.95999998"/>
  </r>
  <r>
    <n v="4"/>
    <n v="30"/>
    <s v="FABIND9INRDZI"/>
    <x v="0"/>
    <s v="I"/>
    <s v="FI2627000085"/>
    <d v="2026-04-15T00:00:00"/>
    <s v="INR"/>
    <n v="661895.04"/>
    <d v="2026-05-25T00:00:00"/>
    <d v="2026-04-20T00:00:00"/>
    <d v="2026-06-14T00:00:00"/>
    <n v="78511"/>
    <d v="2026-04-15T00:00:00"/>
    <m/>
    <m/>
    <s v="TowerGBT-3 Leg Tubular VT30M 200 KMPH"/>
    <n v="595705.53600000008"/>
    <n v="7.6999999999999999E-2"/>
    <n v="55"/>
    <n v="6912"/>
    <n v="588793.53600000008"/>
    <m/>
    <m/>
    <m/>
    <m/>
    <m/>
    <m/>
    <n v="274338104.95999998"/>
  </r>
  <r>
    <n v="4"/>
    <n v="31"/>
    <s v="FABIND9INRDZI"/>
    <x v="0"/>
    <s v="I"/>
    <s v="FI2627000086"/>
    <d v="2026-04-15T00:00:00"/>
    <s v="INR"/>
    <n v="661895.04"/>
    <d v="2026-05-25T00:00:00"/>
    <d v="2026-04-20T00:00:00"/>
    <d v="2026-06-14T00:00:00"/>
    <n v="21123"/>
    <d v="2026-04-15T00:00:00"/>
    <m/>
    <m/>
    <s v="TowerGBT-3 Leg Tubular VT30M 200 KMPH"/>
    <n v="595705.53600000008"/>
    <n v="7.6999999999999999E-2"/>
    <n v="55"/>
    <n v="6912"/>
    <n v="588793.53600000008"/>
    <m/>
    <m/>
    <m/>
    <m/>
    <m/>
    <m/>
    <n v="274338104.95999998"/>
  </r>
  <r>
    <n v="4"/>
    <n v="32"/>
    <s v="FABIND9INRDZI"/>
    <x v="0"/>
    <s v="I"/>
    <s v="FI2627000087"/>
    <d v="2026-04-15T00:00:00"/>
    <s v="INR"/>
    <n v="661895.04"/>
    <d v="2026-05-25T00:00:00"/>
    <d v="2026-04-20T00:00:00"/>
    <d v="2026-06-14T00:00:00"/>
    <n v="78512"/>
    <d v="2026-04-15T00:00:00"/>
    <m/>
    <m/>
    <s v="TowerGBT-3 Leg Tubular VT30M 200 KMPH"/>
    <n v="595705.53600000008"/>
    <n v="7.6999999999999999E-2"/>
    <n v="55"/>
    <n v="6912"/>
    <n v="588793.53600000008"/>
    <m/>
    <m/>
    <m/>
    <m/>
    <m/>
    <m/>
    <n v="274338104.95999998"/>
  </r>
  <r>
    <n v="4"/>
    <n v="33"/>
    <s v="FABIND9INRDZI"/>
    <x v="0"/>
    <s v="I"/>
    <s v="FI2627000109"/>
    <d v="2026-04-19T00:00:00"/>
    <s v="INR"/>
    <n v="506008.78"/>
    <d v="2026-05-29T00:00:00"/>
    <d v="2026-04-20T00:00:00"/>
    <d v="2026-06-18T00:00:00"/>
    <n v="10038"/>
    <d v="2026-04-19T00:00:00"/>
    <m/>
    <m/>
    <s v="Tower- GBT- Elite 403 STR - 3L TBLR 40M"/>
    <n v="455407.90200000006"/>
    <n v="7.6999999999999999E-2"/>
    <n v="59"/>
    <n v="5668"/>
    <n v="449739.90200000006"/>
    <m/>
    <m/>
    <m/>
    <m/>
    <m/>
    <m/>
    <n v="274493991.22000003"/>
  </r>
  <r>
    <n v="4"/>
    <n v="34"/>
    <s v="FABIND9INRDZI"/>
    <x v="0"/>
    <s v="I"/>
    <s v="FI2627000110"/>
    <d v="2026-04-19T00:00:00"/>
    <s v="INR"/>
    <n v="506008.78"/>
    <d v="2026-05-29T00:00:00"/>
    <d v="2026-04-20T00:00:00"/>
    <d v="2026-06-18T00:00:00"/>
    <n v="10039"/>
    <d v="2026-04-19T00:00:00"/>
    <m/>
    <m/>
    <s v="Tower- GBT- Elite 403 STR - 3L TBLR 40M"/>
    <n v="455407.90200000006"/>
    <n v="7.6999999999999999E-2"/>
    <n v="59"/>
    <n v="5668"/>
    <n v="449739.90200000006"/>
    <m/>
    <m/>
    <m/>
    <m/>
    <m/>
    <m/>
    <n v="274493991.22000003"/>
  </r>
  <r>
    <n v="4"/>
    <n v="35"/>
    <s v="FABIND9INRDZI"/>
    <x v="0"/>
    <s v="I"/>
    <s v="FI2627000111"/>
    <d v="2026-04-19T00:00:00"/>
    <s v="INR"/>
    <n v="506008.78"/>
    <d v="2026-05-29T00:00:00"/>
    <d v="2026-04-20T00:00:00"/>
    <d v="2026-06-18T00:00:00"/>
    <n v="10040"/>
    <d v="2026-04-19T00:00:00"/>
    <m/>
    <m/>
    <s v="Tower- GBT- Elite 403 STR - 3L TBLR 40M"/>
    <n v="455407.90200000006"/>
    <n v="7.6999999999999999E-2"/>
    <n v="59"/>
    <n v="5668"/>
    <n v="449739.90200000006"/>
    <m/>
    <m/>
    <m/>
    <m/>
    <m/>
    <m/>
    <n v="274493991.22000003"/>
  </r>
  <r>
    <n v="4"/>
    <n v="36"/>
    <s v="FABIND9INRDZI"/>
    <x v="0"/>
    <s v="I"/>
    <s v="FI2627000112"/>
    <d v="2026-04-19T00:00:00"/>
    <s v="INR"/>
    <n v="506008.78"/>
    <d v="2026-05-29T00:00:00"/>
    <d v="2026-04-20T00:00:00"/>
    <d v="2026-06-18T00:00:00"/>
    <n v="10041"/>
    <d v="2026-04-19T00:00:00"/>
    <m/>
    <m/>
    <s v="Tower- GBT- Elite 403 STR - 3L TBLR 40M"/>
    <n v="455407.90200000006"/>
    <n v="7.6999999999999999E-2"/>
    <n v="59"/>
    <n v="5668"/>
    <n v="449739.90200000006"/>
    <m/>
    <m/>
    <m/>
    <m/>
    <m/>
    <m/>
    <n v="274493991.22000003"/>
  </r>
  <r>
    <n v="5"/>
    <n v="37"/>
    <s v="FABIND9INRDZI"/>
    <x v="0"/>
    <s v="I"/>
    <s v="FI2627000118"/>
    <d v="2026-04-20T00:00:00"/>
    <s v="INR"/>
    <n v="483325.64"/>
    <d v="2026-05-30T00:00:00"/>
    <d v="2026-04-23T00:00:00"/>
    <d v="2026-06-19T00:00:00"/>
    <n v="10043"/>
    <d v="2026-04-20T00:00:00"/>
    <m/>
    <m/>
    <s v="Tower- GBT- Elite 403 STR - 3L TBLR 40M"/>
    <n v="434993.076"/>
    <n v="7.6999999999999999E-2"/>
    <n v="57"/>
    <n v="5231"/>
    <n v="429762.076"/>
    <m/>
    <m/>
    <m/>
    <m/>
    <m/>
    <m/>
    <n v="274516674.36000001"/>
  </r>
  <r>
    <n v="5"/>
    <n v="38"/>
    <s v="FABIND9INRDZI"/>
    <x v="0"/>
    <s v="I"/>
    <s v="FI2627000119"/>
    <d v="2026-04-20T00:00:00"/>
    <s v="INR"/>
    <n v="483325.64"/>
    <d v="2026-05-30T00:00:00"/>
    <d v="2026-04-23T00:00:00"/>
    <d v="2026-06-19T00:00:00"/>
    <n v="10044"/>
    <d v="2026-04-20T00:00:00"/>
    <m/>
    <m/>
    <s v="Tower- GBT- Elite 403 STR - 3L TBLR 40M"/>
    <n v="434993.076"/>
    <n v="7.6999999999999999E-2"/>
    <n v="57"/>
    <n v="5231"/>
    <n v="429762.076"/>
    <m/>
    <m/>
    <m/>
    <m/>
    <m/>
    <m/>
    <n v="274516674.36000001"/>
  </r>
  <r>
    <n v="5"/>
    <n v="39"/>
    <s v="FABIND9INRDZI"/>
    <x v="0"/>
    <s v="I"/>
    <s v="FI2627000120"/>
    <d v="2026-04-20T00:00:00"/>
    <s v="INR"/>
    <n v="483325.64"/>
    <d v="2026-05-30T00:00:00"/>
    <d v="2026-04-23T00:00:00"/>
    <d v="2026-06-19T00:00:00"/>
    <n v="10045"/>
    <d v="2026-04-20T00:00:00"/>
    <m/>
    <m/>
    <s v="Tower- GBT- Elite 403 STR - 3L TBLR 40M"/>
    <n v="434993.076"/>
    <n v="7.6999999999999999E-2"/>
    <n v="57"/>
    <n v="5231"/>
    <n v="429762.076"/>
    <m/>
    <m/>
    <m/>
    <m/>
    <m/>
    <m/>
    <n v="274516674.36000001"/>
  </r>
  <r>
    <n v="5"/>
    <n v="40"/>
    <s v="FABIND9INRDZI"/>
    <x v="0"/>
    <s v="I"/>
    <s v="FI2627000121"/>
    <d v="2026-04-20T00:00:00"/>
    <s v="INR"/>
    <n v="483325.64"/>
    <d v="2026-05-30T00:00:00"/>
    <d v="2026-04-23T00:00:00"/>
    <d v="2026-06-19T00:00:00"/>
    <n v="10046"/>
    <d v="2026-04-20T00:00:00"/>
    <m/>
    <m/>
    <s v="Tower- GBT- Elite 403 STR - 3L TBLR 40M"/>
    <n v="434993.076"/>
    <n v="7.6999999999999999E-2"/>
    <n v="57"/>
    <n v="5231"/>
    <n v="429762.076"/>
    <m/>
    <m/>
    <m/>
    <m/>
    <m/>
    <m/>
    <n v="274516674.36000001"/>
  </r>
  <r>
    <n v="5"/>
    <n v="41"/>
    <s v="FABIND9INRDZI"/>
    <x v="0"/>
    <s v="I"/>
    <s v="FI2627000122"/>
    <d v="2026-04-20T00:00:00"/>
    <s v="INR"/>
    <n v="483325.64"/>
    <d v="2026-05-30T00:00:00"/>
    <d v="2026-04-23T00:00:00"/>
    <d v="2026-06-19T00:00:00"/>
    <n v="801"/>
    <d v="2026-04-20T00:00:00"/>
    <m/>
    <m/>
    <s v="Tower- GBT- Elite 403 STR - 3L TBLR 40M"/>
    <n v="434993.076"/>
    <n v="7.6999999999999999E-2"/>
    <n v="57"/>
    <n v="5231"/>
    <n v="429762.076"/>
    <m/>
    <m/>
    <m/>
    <m/>
    <m/>
    <m/>
    <n v="274516674.36000001"/>
  </r>
  <r>
    <n v="5"/>
    <n v="42"/>
    <s v="FABIND9INRDZI"/>
    <x v="0"/>
    <s v="I"/>
    <s v="FI2627000127"/>
    <d v="2026-04-20T00:00:00"/>
    <s v="INR"/>
    <n v="1006923.5"/>
    <d v="2026-05-30T00:00:00"/>
    <d v="2026-04-23T00:00:00"/>
    <d v="2026-06-19T00:00:00"/>
    <n v="78158"/>
    <d v="2026-04-20T00:00:00"/>
    <m/>
    <m/>
    <s v="CIP - GBT - Elite 403 STR - 3L 170KMPH"/>
    <n v="906231.15"/>
    <n v="7.6999999999999999E-2"/>
    <n v="57"/>
    <n v="10897"/>
    <n v="895334.15"/>
    <m/>
    <m/>
    <m/>
    <m/>
    <m/>
    <m/>
    <n v="273993076.5"/>
  </r>
  <r>
    <n v="5"/>
    <n v="43"/>
    <s v="FABIND9INRDZI"/>
    <x v="0"/>
    <s v="I"/>
    <s v="FI2627000128"/>
    <d v="2026-04-20T00:00:00"/>
    <s v="INR"/>
    <n v="671243"/>
    <d v="2026-05-30T00:00:00"/>
    <d v="2026-04-23T00:00:00"/>
    <d v="2026-06-19T00:00:00"/>
    <n v="10047"/>
    <d v="2026-04-20T00:00:00"/>
    <m/>
    <m/>
    <s v="12A - Tower GBT-3 Leg TBLR 40M 170 KMPH"/>
    <n v="604118.70000000007"/>
    <n v="7.6999999999999999E-2"/>
    <n v="57"/>
    <n v="7264"/>
    <n v="596854.70000000007"/>
    <m/>
    <m/>
    <m/>
    <m/>
    <m/>
    <m/>
    <n v="274328757"/>
  </r>
  <r>
    <n v="5"/>
    <n v="44"/>
    <s v="FABIND9INRDZI"/>
    <x v="0"/>
    <s v="I"/>
    <s v="FI2627000134"/>
    <d v="2026-04-21T00:00:00"/>
    <s v="INR"/>
    <n v="481668.92"/>
    <d v="2026-05-31T00:00:00"/>
    <d v="2026-04-23T00:00:00"/>
    <d v="2026-06-20T00:00:00"/>
    <n v="10049"/>
    <d v="2026-04-21T00:00:00"/>
    <m/>
    <m/>
    <s v="TOWER GBT 3Legged VM 30M 170KMPH"/>
    <n v="433502.02799999999"/>
    <n v="7.6999999999999999E-2"/>
    <n v="58"/>
    <n v="5304"/>
    <n v="428198.02799999999"/>
    <m/>
    <m/>
    <m/>
    <m/>
    <m/>
    <m/>
    <n v="274518331.07999998"/>
  </r>
  <r>
    <n v="5"/>
    <n v="45"/>
    <s v="FABIND9INRDZI"/>
    <x v="0"/>
    <s v="I"/>
    <s v="FI2627000135"/>
    <d v="2026-04-21T00:00:00"/>
    <s v="INR"/>
    <n v="506008.78"/>
    <d v="2026-05-31T00:00:00"/>
    <d v="2026-04-23T00:00:00"/>
    <d v="2026-06-20T00:00:00"/>
    <n v="10050"/>
    <d v="2026-04-21T00:00:00"/>
    <m/>
    <m/>
    <s v="Tower- GBT- Elite 403 STR - 3L TBLR 40M"/>
    <n v="455407.90200000006"/>
    <n v="7.6999999999999999E-2"/>
    <n v="58"/>
    <n v="5572"/>
    <n v="449835.90200000006"/>
    <m/>
    <m/>
    <m/>
    <m/>
    <m/>
    <m/>
    <n v="274493991.22000003"/>
  </r>
  <r>
    <n v="5"/>
    <n v="46"/>
    <s v="FABIND9INRDZI"/>
    <x v="0"/>
    <s v="I"/>
    <s v="FI2627000136"/>
    <d v="2026-04-21T00:00:00"/>
    <s v="INR"/>
    <n v="506008.78"/>
    <d v="2026-05-31T00:00:00"/>
    <d v="2026-04-23T00:00:00"/>
    <d v="2026-06-20T00:00:00"/>
    <n v="78519"/>
    <d v="2026-04-21T00:00:00"/>
    <m/>
    <m/>
    <s v="Tower- GBT- Elite 403 STR - 3L TBLR 40M"/>
    <n v="455407.90200000006"/>
    <n v="7.6999999999999999E-2"/>
    <n v="58"/>
    <n v="5572"/>
    <n v="449835.90200000006"/>
    <m/>
    <m/>
    <m/>
    <m/>
    <m/>
    <m/>
    <n v="274493991.22000003"/>
  </r>
  <r>
    <n v="5"/>
    <n v="47"/>
    <s v="FABIND9INRDZI"/>
    <x v="0"/>
    <s v="I"/>
    <s v="FI2627000137"/>
    <d v="2026-04-21T00:00:00"/>
    <s v="INR"/>
    <n v="506008.78"/>
    <d v="2026-05-31T00:00:00"/>
    <d v="2026-04-23T00:00:00"/>
    <d v="2026-06-20T00:00:00"/>
    <n v="78520"/>
    <d v="2026-04-21T00:00:00"/>
    <m/>
    <m/>
    <s v="Tower- GBT- Elite 403 STR - 3L TBLR 40M"/>
    <n v="455407.90200000006"/>
    <n v="7.6999999999999999E-2"/>
    <n v="58"/>
    <n v="5572"/>
    <n v="449835.90200000006"/>
    <m/>
    <m/>
    <m/>
    <m/>
    <m/>
    <m/>
    <n v="274493991.22000003"/>
  </r>
  <r>
    <n v="5"/>
    <n v="48"/>
    <s v="FABIND9INRDZI"/>
    <x v="0"/>
    <s v="I"/>
    <s v="FI2627000139"/>
    <d v="2026-04-21T00:00:00"/>
    <s v="INR"/>
    <n v="506008.78"/>
    <d v="2026-05-31T00:00:00"/>
    <d v="2026-04-23T00:00:00"/>
    <d v="2026-06-20T00:00:00"/>
    <n v="78521"/>
    <d v="2026-04-21T00:00:00"/>
    <m/>
    <m/>
    <s v="Tower- GBT- Elite 403 STR - 3L TBLR 40M"/>
    <n v="455407.90200000006"/>
    <n v="7.6999999999999999E-2"/>
    <n v="58"/>
    <n v="5572"/>
    <n v="449835.90200000006"/>
    <m/>
    <m/>
    <m/>
    <m/>
    <m/>
    <m/>
    <n v="274493991.22000003"/>
  </r>
  <r>
    <n v="5"/>
    <n v="49"/>
    <s v="FABIND9INRDZI"/>
    <x v="0"/>
    <s v="I"/>
    <s v="FI2627000140"/>
    <d v="2026-04-21T00:00:00"/>
    <s v="INR"/>
    <n v="506008.78"/>
    <d v="2026-05-31T00:00:00"/>
    <d v="2026-04-23T00:00:00"/>
    <d v="2026-06-20T00:00:00"/>
    <n v="10051"/>
    <d v="2026-04-21T00:00:00"/>
    <m/>
    <m/>
    <s v="Tower- GBT- Elite 403 STR - 3L TBLR 40M"/>
    <n v="455407.90200000006"/>
    <n v="7.6999999999999999E-2"/>
    <n v="58"/>
    <n v="5572"/>
    <n v="449835.90200000006"/>
    <m/>
    <m/>
    <m/>
    <m/>
    <m/>
    <m/>
    <n v="274493991.22000003"/>
  </r>
  <r>
    <n v="5"/>
    <n v="50"/>
    <s v="FABIND9INRDZI"/>
    <x v="0"/>
    <s v="I"/>
    <s v="FI2627000148"/>
    <d v="2026-04-21T00:00:00"/>
    <s v="INR"/>
    <n v="506008.78"/>
    <d v="2026-05-31T00:00:00"/>
    <d v="2026-04-23T00:00:00"/>
    <d v="2026-06-20T00:00:00"/>
    <n v="78522"/>
    <d v="2026-04-21T00:00:00"/>
    <m/>
    <m/>
    <s v="Tower- GBT- Elite 403 STR - 3L TBLR 40M"/>
    <n v="455407.90200000006"/>
    <n v="7.6999999999999999E-2"/>
    <n v="58"/>
    <n v="5572"/>
    <n v="449835.90200000006"/>
    <m/>
    <m/>
    <m/>
    <m/>
    <m/>
    <m/>
    <n v="274493991.22000003"/>
  </r>
  <r>
    <n v="6"/>
    <n v="51"/>
    <s v="FABIND9INRDZI"/>
    <x v="0"/>
    <s v="I"/>
    <s v="FI2627000151"/>
    <d v="2026-04-22T00:00:00"/>
    <s v="INR"/>
    <n v="873873.78"/>
    <d v="2026-06-01T00:00:00"/>
    <d v="2026-04-23T00:00:00"/>
    <d v="2026-06-21T00:00:00"/>
    <n v="25333"/>
    <d v="2026-04-22T00:00:00"/>
    <m/>
    <m/>
    <s v="SLIP JOINT MONOPOLE-30M (INDUS)"/>
    <n v="786486.402"/>
    <n v="7.6999999999999999E-2"/>
    <n v="59"/>
    <n v="9789"/>
    <n v="776697.402"/>
    <m/>
    <m/>
    <m/>
    <m/>
    <m/>
    <m/>
    <n v="274126126.22000003"/>
  </r>
  <r>
    <n v="6"/>
    <n v="52"/>
    <s v="FABIND9INRDZI"/>
    <x v="0"/>
    <s v="I"/>
    <s v="FI2627000152"/>
    <d v="2026-04-22T00:00:00"/>
    <s v="INR"/>
    <n v="483325.64"/>
    <d v="2026-06-01T00:00:00"/>
    <d v="2026-04-23T00:00:00"/>
    <d v="2026-06-21T00:00:00"/>
    <n v="10054"/>
    <d v="2026-04-22T00:00:00"/>
    <m/>
    <m/>
    <s v="Tower- GBT- Elite 403 STR - 3L TBLR 40M"/>
    <n v="434993.076"/>
    <n v="7.6999999999999999E-2"/>
    <n v="59"/>
    <n v="5414"/>
    <n v="429579.076"/>
    <m/>
    <m/>
    <m/>
    <m/>
    <m/>
    <m/>
    <n v="274516674.36000001"/>
  </r>
  <r>
    <n v="6"/>
    <n v="53"/>
    <s v="FABIND9INRDZI"/>
    <x v="0"/>
    <s v="I"/>
    <s v="FI2627000153"/>
    <d v="2026-04-22T00:00:00"/>
    <s v="INR"/>
    <n v="483325.64"/>
    <d v="2026-06-01T00:00:00"/>
    <d v="2026-04-23T00:00:00"/>
    <d v="2026-06-21T00:00:00"/>
    <n v="10053"/>
    <d v="2026-04-22T00:00:00"/>
    <m/>
    <m/>
    <s v="Tower- GBT- Elite 403 STR - 3L TBLR 40M"/>
    <n v="434993.076"/>
    <n v="7.6999999999999999E-2"/>
    <n v="59"/>
    <n v="5414"/>
    <n v="429579.076"/>
    <m/>
    <m/>
    <m/>
    <m/>
    <m/>
    <m/>
    <n v="274516674.36000001"/>
  </r>
  <r>
    <n v="6"/>
    <n v="54"/>
    <s v="FABIND9INRDZI"/>
    <x v="0"/>
    <s v="I"/>
    <s v="FI2627000156"/>
    <d v="2026-04-22T00:00:00"/>
    <s v="INR"/>
    <n v="483325.64"/>
    <d v="2026-06-01T00:00:00"/>
    <d v="2026-04-23T00:00:00"/>
    <d v="2026-06-21T00:00:00"/>
    <n v="21129"/>
    <d v="2026-04-22T00:00:00"/>
    <m/>
    <m/>
    <s v="Tower- GBT- Elite 403 STR - 3L TBLR 40M"/>
    <n v="434993.076"/>
    <n v="7.6999999999999999E-2"/>
    <n v="59"/>
    <n v="5414"/>
    <n v="429579.076"/>
    <m/>
    <m/>
    <m/>
    <m/>
    <m/>
    <m/>
    <n v="274516674.36000001"/>
  </r>
  <r>
    <n v="7"/>
    <n v="55"/>
    <s v="FABIND9INRDZI"/>
    <x v="0"/>
    <s v="I"/>
    <s v="FI2627000168"/>
    <d v="2026-04-23T00:00:00"/>
    <s v="INR"/>
    <n v="455946.1"/>
    <d v="2026-06-02T00:00:00"/>
    <d v="2026-04-23T00:00:00"/>
    <d v="2026-06-22T00:00:00"/>
    <s v="11527"/>
    <d v="2026-04-23T00:00:00"/>
    <m/>
    <m/>
    <s v="Tower- GBT- Elite-402 - 3L TBLR 40M 140"/>
    <n v="410351.49"/>
    <n v="7.6999999999999999E-2"/>
    <n v="60"/>
    <n v="5194"/>
    <n v="405157.49"/>
    <m/>
    <m/>
    <m/>
    <m/>
    <m/>
    <m/>
    <n v="274544053.89999998"/>
  </r>
  <r>
    <n v="7"/>
    <n v="56"/>
    <s v="FABIND9INRDZI"/>
    <x v="0"/>
    <s v="I"/>
    <s v="FI2627000169"/>
    <d v="2026-04-23T00:00:00"/>
    <s v="INR"/>
    <n v="483325.64"/>
    <d v="2026-06-02T00:00:00"/>
    <d v="2026-04-23T00:00:00"/>
    <d v="2026-06-22T00:00:00"/>
    <s v="11528"/>
    <d v="2026-04-23T00:00:00"/>
    <m/>
    <m/>
    <s v="Tower- GBT- Elite 403 STR - 3L TBLR 40M"/>
    <n v="434993.076"/>
    <n v="7.6999999999999999E-2"/>
    <n v="60"/>
    <n v="5506"/>
    <n v="429487.076"/>
    <m/>
    <m/>
    <m/>
    <m/>
    <m/>
    <m/>
    <n v="274516674.36000001"/>
  </r>
  <r>
    <n v="8"/>
    <n v="57"/>
    <s v="FABIND9INRDZI"/>
    <x v="0"/>
    <s v="I"/>
    <s v="FI2627000176"/>
    <d v="2026-04-24T00:00:00"/>
    <s v="INR"/>
    <n v="684578.18"/>
    <d v="2026-06-03T00:00:00"/>
    <d v="2026-04-24T00:00:00"/>
    <d v="2026-06-23T00:00:00"/>
    <s v="10061"/>
    <d v="2026-04-24T00:00:00"/>
    <m/>
    <m/>
    <s v="TowerGBT-3 Leg Tubular VT30M 200 KMPH"/>
    <n v="616120.36200000008"/>
    <n v="7.6999999999999999E-2"/>
    <n v="60"/>
    <n v="7799"/>
    <n v="608321.36200000008"/>
    <m/>
    <m/>
    <m/>
    <m/>
    <m/>
    <m/>
    <n v="274315421.81999999"/>
  </r>
  <r>
    <n v="8"/>
    <n v="58"/>
    <s v="FABIND9INRDZI"/>
    <x v="0"/>
    <s v="I"/>
    <s v="FI2627000177"/>
    <d v="2026-04-24T00:00:00"/>
    <s v="INR"/>
    <n v="75263.94"/>
    <d v="2026-06-03T00:00:00"/>
    <d v="2026-04-24T00:00:00"/>
    <d v="2026-06-23T00:00:00"/>
    <s v="10062"/>
    <d v="2026-04-24T00:00:00"/>
    <m/>
    <m/>
    <s v="Cast In part GBT-3L TBLR VT30M 200KMPH"/>
    <n v="67737.546000000002"/>
    <n v="7.6999999999999999E-2"/>
    <n v="60"/>
    <n v="857"/>
    <n v="66880.546000000002"/>
    <m/>
    <m/>
    <m/>
    <m/>
    <m/>
    <m/>
    <n v="274924736.06"/>
  </r>
  <r>
    <n v="8"/>
    <n v="59"/>
    <s v="FABIND9INRDZI"/>
    <x v="0"/>
    <s v="I"/>
    <s v="FI2627000178"/>
    <d v="2026-04-24T00:00:00"/>
    <s v="INR"/>
    <n v="684578.18"/>
    <d v="2026-06-03T00:00:00"/>
    <d v="2026-04-24T00:00:00"/>
    <d v="2026-06-23T00:00:00"/>
    <s v="10063"/>
    <d v="2026-04-24T00:00:00"/>
    <m/>
    <m/>
    <s v="TowerGBT-3 Leg Tubular VT30M 200 KMPH"/>
    <n v="616120.36200000008"/>
    <n v="7.6999999999999999E-2"/>
    <n v="60"/>
    <n v="7799"/>
    <n v="608321.36200000008"/>
    <m/>
    <m/>
    <m/>
    <m/>
    <m/>
    <m/>
    <n v="274315421.81999999"/>
  </r>
  <r>
    <n v="8"/>
    <n v="60"/>
    <s v="FABIND9INRDZI"/>
    <x v="0"/>
    <s v="I"/>
    <s v="FI2627000179"/>
    <d v="2026-04-24T00:00:00"/>
    <s v="INR"/>
    <n v="75263.94"/>
    <d v="2026-06-03T00:00:00"/>
    <d v="2026-04-24T00:00:00"/>
    <d v="2026-06-23T00:00:00"/>
    <s v="10064"/>
    <d v="2026-04-24T00:00:00"/>
    <m/>
    <m/>
    <s v="Cast In part GBT-3L TBLR VT30M 200KMPH"/>
    <n v="67737.546000000002"/>
    <n v="7.6999999999999999E-2"/>
    <n v="60"/>
    <n v="857"/>
    <n v="66880.546000000002"/>
    <m/>
    <m/>
    <m/>
    <m/>
    <m/>
    <m/>
    <n v="274924736.06"/>
  </r>
  <r>
    <n v="8"/>
    <n v="61"/>
    <s v="FABIND9INRDZI"/>
    <x v="0"/>
    <s v="I"/>
    <s v="FI2627000182"/>
    <d v="2026-04-24T00:00:00"/>
    <s v="INR"/>
    <n v="574467.66"/>
    <d v="2026-06-03T00:00:00"/>
    <d v="2026-04-24T00:00:00"/>
    <d v="2026-06-23T00:00:00"/>
    <s v="806"/>
    <d v="2026-04-24T00:00:00"/>
    <m/>
    <m/>
    <s v="NBT 40Mtr Tower"/>
    <n v="517020.89400000003"/>
    <n v="7.6999999999999999E-2"/>
    <n v="60"/>
    <n v="6544"/>
    <n v="510476.89400000003"/>
    <m/>
    <m/>
    <m/>
    <m/>
    <m/>
    <m/>
    <n v="274425532.33999997"/>
  </r>
  <r>
    <n v="8"/>
    <n v="62"/>
    <s v="FABIND9INRDZI"/>
    <x v="0"/>
    <s v="I"/>
    <s v="FI2627000183"/>
    <d v="2026-04-24T00:00:00"/>
    <s v="INR"/>
    <n v="574467.66"/>
    <d v="2026-06-03T00:00:00"/>
    <d v="2026-04-24T00:00:00"/>
    <d v="2026-06-23T00:00:00"/>
    <s v="805"/>
    <d v="2026-04-24T00:00:00"/>
    <m/>
    <m/>
    <s v="NBT 40Mtr Tower"/>
    <n v="517020.89400000003"/>
    <n v="7.6999999999999999E-2"/>
    <n v="60"/>
    <n v="6544"/>
    <n v="510476.89400000003"/>
    <m/>
    <m/>
    <m/>
    <m/>
    <m/>
    <m/>
    <n v="274425532.33999997"/>
  </r>
  <r>
    <n v="8"/>
    <n v="63"/>
    <s v="FABIND9INRDZI"/>
    <x v="0"/>
    <s v="I"/>
    <s v="FI2627000184"/>
    <d v="2026-04-24T00:00:00"/>
    <s v="INR"/>
    <n v="574467.66"/>
    <d v="2026-06-03T00:00:00"/>
    <d v="2026-04-24T00:00:00"/>
    <d v="2026-06-23T00:00:00"/>
    <s v="807"/>
    <d v="2026-04-24T00:00:00"/>
    <m/>
    <m/>
    <s v="NBT 40Mtr Tower"/>
    <n v="517020.89400000003"/>
    <n v="7.6999999999999999E-2"/>
    <n v="60"/>
    <n v="6544"/>
    <n v="510476.89400000003"/>
    <m/>
    <m/>
    <m/>
    <m/>
    <m/>
    <m/>
    <n v="274425532.33999997"/>
  </r>
  <r>
    <n v="8"/>
    <n v="64"/>
    <s v="FABIND9INRDZI"/>
    <x v="0"/>
    <s v="I"/>
    <s v="FI2627000185"/>
    <d v="2026-04-24T00:00:00"/>
    <s v="INR"/>
    <n v="574467.66"/>
    <d v="2026-06-03T00:00:00"/>
    <d v="2026-04-24T00:00:00"/>
    <d v="2026-06-23T00:00:00"/>
    <s v="10066"/>
    <d v="2026-04-24T00:00:00"/>
    <m/>
    <m/>
    <s v="NBT 40Mtr Tower"/>
    <n v="517020.89400000003"/>
    <n v="7.6999999999999999E-2"/>
    <n v="60"/>
    <n v="6544"/>
    <n v="510476.89400000003"/>
    <m/>
    <m/>
    <m/>
    <m/>
    <m/>
    <m/>
    <n v="274425532.33999997"/>
  </r>
  <r>
    <n v="8"/>
    <n v="65"/>
    <s v="FABIND9INRDZI"/>
    <x v="0"/>
    <s v="I"/>
    <s v="FI2627000186"/>
    <d v="2026-04-24T00:00:00"/>
    <s v="INR"/>
    <n v="574467.66"/>
    <d v="2026-06-03T00:00:00"/>
    <d v="2026-04-24T00:00:00"/>
    <d v="2026-06-23T00:00:00"/>
    <s v="10067"/>
    <d v="2026-04-24T00:00:00"/>
    <m/>
    <m/>
    <s v="NBT 40Mtr Tower"/>
    <n v="517020.89400000003"/>
    <n v="7.6999999999999999E-2"/>
    <n v="60"/>
    <n v="6544"/>
    <n v="510476.89400000003"/>
    <m/>
    <m/>
    <m/>
    <m/>
    <m/>
    <m/>
    <n v="274425532.33999997"/>
  </r>
  <r>
    <n v="8"/>
    <n v="66"/>
    <s v="FABIND9INRDZI"/>
    <x v="0"/>
    <s v="I"/>
    <s v="FI2627000188"/>
    <d v="2026-04-24T00:00:00"/>
    <s v="INR"/>
    <n v="481668.92"/>
    <d v="2026-06-03T00:00:00"/>
    <d v="2026-04-24T00:00:00"/>
    <d v="2026-06-23T00:00:00"/>
    <s v="11529"/>
    <d v="2026-04-24T00:00:00"/>
    <m/>
    <m/>
    <s v="TOWER GBT 3Legged VM 30M 170KMPH"/>
    <n v="433502.02799999999"/>
    <n v="7.6999999999999999E-2"/>
    <n v="60"/>
    <n v="5487"/>
    <n v="428015.02799999999"/>
    <m/>
    <m/>
    <m/>
    <m/>
    <m/>
    <m/>
    <n v="274518331.07999998"/>
  </r>
  <r>
    <n v="9"/>
    <n v="67"/>
    <s v="FABIND9INRDZI"/>
    <x v="0"/>
    <s v="I"/>
    <s v="FI2627000196"/>
    <d v="2026-04-26T00:00:00"/>
    <s v="INR"/>
    <n v="574467.66"/>
    <d v="2026-06-05T00:00:00"/>
    <d v="2026-04-27T00:00:00"/>
    <d v="2026-06-25T00:00:00"/>
    <s v="78526"/>
    <d v="2026-04-26T00:00:00"/>
    <m/>
    <m/>
    <s v="NBT 40Mtr Tower"/>
    <n v="517020.89400000003"/>
    <n v="7.6999999999999999E-2"/>
    <n v="59"/>
    <n v="6435"/>
    <n v="510585.89400000003"/>
    <m/>
    <m/>
    <m/>
    <m/>
    <m/>
    <m/>
    <n v="274425532.33999997"/>
  </r>
  <r>
    <n v="9"/>
    <n v="68"/>
    <s v="FABIND9INRDZI"/>
    <x v="0"/>
    <s v="I"/>
    <s v="FI2627000197"/>
    <d v="2026-04-26T00:00:00"/>
    <s v="INR"/>
    <n v="574467.66"/>
    <d v="2026-06-05T00:00:00"/>
    <d v="2026-04-27T00:00:00"/>
    <d v="2026-06-25T00:00:00"/>
    <s v="10070"/>
    <d v="2026-04-26T00:00:00"/>
    <m/>
    <m/>
    <s v="NBT 40Mtr Tower"/>
    <n v="517020.89400000003"/>
    <n v="7.6999999999999999E-2"/>
    <n v="59"/>
    <n v="6435"/>
    <n v="510585.89400000003"/>
    <m/>
    <m/>
    <m/>
    <m/>
    <m/>
    <m/>
    <n v="274425532.33999997"/>
  </r>
  <r>
    <n v="9"/>
    <n v="69"/>
    <s v="FABIND9INRDZI"/>
    <x v="0"/>
    <s v="I"/>
    <s v="FI2627000198"/>
    <d v="2026-04-26T00:00:00"/>
    <s v="INR"/>
    <n v="574467.66"/>
    <d v="2026-06-05T00:00:00"/>
    <d v="2026-04-27T00:00:00"/>
    <d v="2026-06-25T00:00:00"/>
    <s v="810"/>
    <d v="2026-04-26T00:00:00"/>
    <m/>
    <m/>
    <s v="NBT 40Mtr Tower"/>
    <n v="517020.89400000003"/>
    <n v="7.6999999999999999E-2"/>
    <n v="59"/>
    <n v="6435"/>
    <n v="510585.89400000003"/>
    <m/>
    <m/>
    <m/>
    <m/>
    <m/>
    <m/>
    <n v="274425532.33999997"/>
  </r>
  <r>
    <n v="9"/>
    <n v="70"/>
    <s v="FABIND9INRDZI"/>
    <x v="0"/>
    <s v="I"/>
    <s v="FI2627000199"/>
    <d v="2026-04-26T00:00:00"/>
    <s v="INR"/>
    <n v="574467.66"/>
    <d v="2026-06-05T00:00:00"/>
    <d v="2026-04-27T00:00:00"/>
    <d v="2026-06-25T00:00:00"/>
    <s v="11530"/>
    <d v="2026-04-26T00:00:00"/>
    <m/>
    <m/>
    <s v="NBT 40Mtr Tower"/>
    <n v="517020.89400000003"/>
    <n v="7.6999999999999999E-2"/>
    <n v="59"/>
    <n v="6435"/>
    <n v="510585.89400000003"/>
    <m/>
    <m/>
    <m/>
    <m/>
    <m/>
    <m/>
    <n v="274425532.33999997"/>
  </r>
  <r>
    <n v="0"/>
    <n v="71"/>
    <s v="FABIND9INRDZI"/>
    <x v="1"/>
    <s v="I"/>
    <s v="FI2526009378"/>
    <d v="2026-03-12T00:00:00"/>
    <s v="INR"/>
    <n v="764307.41"/>
    <d v="2026-04-25T00:00:00"/>
    <d v="2026-04-23T00:00:00"/>
    <d v="2026-05-15T00:00:00"/>
    <m/>
    <d v="2026-03-12T00:00:00"/>
    <m/>
    <m/>
    <m/>
    <n v="687876.66899999999"/>
    <n v="7.6999999999999999E-2"/>
    <n v="22"/>
    <n v="3193"/>
    <n v="684683.66899999999"/>
    <m/>
    <m/>
    <m/>
    <m/>
    <m/>
    <m/>
    <n v="219235692.59"/>
  </r>
  <r>
    <n v="1"/>
    <n v="72"/>
    <s v="FABIND9INRDZI"/>
    <x v="1"/>
    <s v="I"/>
    <s v="FI2627000094"/>
    <d v="2026-04-16T00:00:00"/>
    <s v="INR"/>
    <n v="822460"/>
    <d v="2026-05-30T00:00:00"/>
    <d v="2026-04-20T00:00:00"/>
    <d v="2026-06-19T00:00:00"/>
    <n v="2000146043"/>
    <d v="2026-04-16T00:00:00"/>
    <m/>
    <m/>
    <s v="CIP for 12/18 Panel Structure_New Design"/>
    <n v="740214"/>
    <n v="7.6999999999999999E-2"/>
    <n v="60"/>
    <n v="9369"/>
    <n v="730845"/>
    <m/>
    <m/>
    <m/>
    <m/>
    <m/>
    <m/>
    <n v="219177540"/>
  </r>
  <r>
    <n v="1"/>
    <n v="73"/>
    <s v="FABIND9INRDZI"/>
    <x v="1"/>
    <s v="I"/>
    <s v="FI2627000107"/>
    <d v="2026-04-19T00:00:00"/>
    <s v="INR"/>
    <n v="822460"/>
    <d v="2026-06-02T00:00:00"/>
    <d v="2026-04-20T00:00:00"/>
    <d v="2026-06-22T00:00:00"/>
    <n v="2000146110"/>
    <d v="2026-04-19T00:00:00"/>
    <m/>
    <m/>
    <s v="CIP for 12/18 Panel Structure_New Design"/>
    <n v="740214"/>
    <n v="7.6999999999999999E-2"/>
    <n v="63"/>
    <n v="9838"/>
    <n v="730376"/>
    <m/>
    <m/>
    <m/>
    <m/>
    <m/>
    <m/>
    <n v="219177540"/>
  </r>
  <r>
    <n v="2"/>
    <n v="74"/>
    <s v="FABIND9INRDZI"/>
    <x v="1"/>
    <s v="I"/>
    <s v="FI2627000123"/>
    <d v="2026-04-20T00:00:00"/>
    <s v="INR"/>
    <n v="766484.34"/>
    <d v="2026-06-03T00:00:00"/>
    <d v="2026-04-23T00:00:00"/>
    <d v="2026-06-23T00:00:00"/>
    <n v="2000146126"/>
    <d v="2026-04-20T00:00:00"/>
    <m/>
    <m/>
    <s v="TOWER12A TUBULR3 LEG W PLT &amp; FNCE-FAB"/>
    <n v="689835.90599999996"/>
    <n v="7.6999999999999999E-2"/>
    <n v="61"/>
    <n v="8877"/>
    <n v="680958.90599999996"/>
    <m/>
    <m/>
    <m/>
    <m/>
    <m/>
    <m/>
    <n v="219233515.66"/>
  </r>
  <r>
    <n v="2"/>
    <n v="75"/>
    <s v="FABIND9INRDZI"/>
    <x v="1"/>
    <s v="I"/>
    <s v="FI2627000124"/>
    <d v="2026-04-20T00:00:00"/>
    <s v="INR"/>
    <n v="766484.34"/>
    <d v="2026-06-03T00:00:00"/>
    <d v="2026-04-23T00:00:00"/>
    <d v="2026-06-23T00:00:00"/>
    <n v="2000146129"/>
    <d v="2026-04-20T00:00:00"/>
    <m/>
    <m/>
    <s v="TOWER12A TUBULR3 LEG W PLT &amp; FNCE-FAB"/>
    <n v="689835.90599999996"/>
    <n v="7.6999999999999999E-2"/>
    <n v="61"/>
    <n v="8877"/>
    <n v="680958.90599999996"/>
    <m/>
    <m/>
    <m/>
    <m/>
    <m/>
    <m/>
    <n v="219233515.66"/>
  </r>
  <r>
    <n v="2"/>
    <n v="76"/>
    <s v="FABIND9INRDZI"/>
    <x v="1"/>
    <s v="I"/>
    <s v="FI2627000125"/>
    <d v="2026-04-20T00:00:00"/>
    <s v="INR"/>
    <n v="766484.34"/>
    <d v="2026-06-03T00:00:00"/>
    <d v="2026-04-23T00:00:00"/>
    <d v="2026-06-23T00:00:00"/>
    <n v="2000146130"/>
    <d v="2026-04-20T00:00:00"/>
    <m/>
    <m/>
    <s v="TOWER12A TUBULR3 LEG W PLT &amp; FNCE-FAB"/>
    <n v="689835.90599999996"/>
    <n v="7.6999999999999999E-2"/>
    <n v="61"/>
    <n v="8877"/>
    <n v="680958.90599999996"/>
    <m/>
    <m/>
    <m/>
    <m/>
    <m/>
    <m/>
    <n v="219233515.66"/>
  </r>
  <r>
    <n v="2"/>
    <n v="77"/>
    <s v="FABIND9INRDZI"/>
    <x v="1"/>
    <s v="I"/>
    <s v="FI2627000126"/>
    <d v="2026-04-20T00:00:00"/>
    <s v="INR"/>
    <n v="766484.34"/>
    <d v="2026-06-03T00:00:00"/>
    <d v="2026-04-23T00:00:00"/>
    <d v="2026-06-23T00:00:00"/>
    <n v="2000146128"/>
    <d v="2026-04-20T00:00:00"/>
    <m/>
    <m/>
    <s v="TOWER12A TUBULR3 LEG W PLT &amp; FNCE-FAB"/>
    <n v="689835.90599999996"/>
    <n v="7.6999999999999999E-2"/>
    <n v="61"/>
    <n v="8877"/>
    <n v="680958.90599999996"/>
    <m/>
    <m/>
    <m/>
    <m/>
    <m/>
    <m/>
    <n v="219233515.66"/>
  </r>
  <r>
    <n v="2"/>
    <n v="78"/>
    <s v="FABIND9INRDZI"/>
    <x v="1"/>
    <s v="I"/>
    <s v="FI2627000143"/>
    <d v="2026-04-21T00:00:00"/>
    <s v="INR"/>
    <n v="822460"/>
    <d v="2026-06-04T00:00:00"/>
    <d v="2026-04-23T00:00:00"/>
    <d v="2026-06-24T00:00:00"/>
    <n v="2000146147"/>
    <d v="2026-04-21T00:00:00"/>
    <m/>
    <m/>
    <s v="CIP for 12/18 Panel Structure_New Design"/>
    <n v="740214"/>
    <n v="7.6999999999999999E-2"/>
    <n v="62"/>
    <n v="9682"/>
    <n v="730532"/>
    <m/>
    <m/>
    <m/>
    <m/>
    <m/>
    <m/>
    <n v="219177540"/>
  </r>
  <r>
    <n v="2"/>
    <n v="79"/>
    <s v="FABIND9INRDZI"/>
    <x v="1"/>
    <s v="I"/>
    <s v="FI2627000146"/>
    <d v="2026-04-21T00:00:00"/>
    <s v="INR"/>
    <n v="822460"/>
    <d v="2026-06-04T00:00:00"/>
    <d v="2026-04-23T00:00:00"/>
    <d v="2026-06-24T00:00:00"/>
    <n v="2000146148"/>
    <d v="2026-04-21T00:00:00"/>
    <m/>
    <m/>
    <s v="CIP for 12/18 Panel Structure_New Design"/>
    <n v="740214"/>
    <n v="7.6999999999999999E-2"/>
    <n v="62"/>
    <n v="9682"/>
    <n v="730532"/>
    <m/>
    <m/>
    <m/>
    <m/>
    <m/>
    <m/>
    <n v="219177540"/>
  </r>
  <r>
    <n v="3"/>
    <n v="80"/>
    <s v="FABIND9INRDZI"/>
    <x v="1"/>
    <s v="I"/>
    <s v="FI2627000154"/>
    <d v="2026-04-22T00:00:00"/>
    <s v="INR"/>
    <n v="1069198"/>
    <d v="2026-06-05T00:00:00"/>
    <d v="2026-04-23T00:00:00"/>
    <d v="2026-06-25T00:00:00"/>
    <n v="2000146151"/>
    <d v="2026-04-22T00:00:00"/>
    <m/>
    <m/>
    <s v="TOWER12A TUBULR3 LEG W PLT &amp; FNCE-FAB"/>
    <n v="962278.20000000007"/>
    <n v="7.6999999999999999E-2"/>
    <n v="63"/>
    <n v="12789"/>
    <n v="949489.20000000007"/>
    <m/>
    <m/>
    <m/>
    <m/>
    <m/>
    <m/>
    <n v="218930802"/>
  </r>
  <r>
    <n v="4"/>
    <n v="81"/>
    <s v="FABIND9INRDZI"/>
    <x v="1"/>
    <s v="I"/>
    <s v="FI2627000164"/>
    <d v="2026-04-23T00:00:00"/>
    <s v="INR"/>
    <n v="916860"/>
    <d v="2026-06-06T00:00:00"/>
    <d v="2026-04-23T00:00:00"/>
    <d v="2026-06-26T00:00:00"/>
    <s v="2000146179"/>
    <d v="2026-04-23T00:00:00"/>
    <m/>
    <m/>
    <s v="GBM30MTRIBANDLOADING50M/S-FAB"/>
    <n v="825174"/>
    <n v="7.6999999999999999E-2"/>
    <n v="64"/>
    <n v="11141"/>
    <n v="814033"/>
    <m/>
    <m/>
    <m/>
    <m/>
    <m/>
    <m/>
    <n v="219083140"/>
  </r>
  <r>
    <n v="4"/>
    <n v="82"/>
    <s v="FABIND9INRDZI"/>
    <x v="1"/>
    <s v="I"/>
    <s v="FI2627000165"/>
    <d v="2026-04-23T00:00:00"/>
    <s v="INR"/>
    <n v="848001.1"/>
    <d v="2026-06-06T00:00:00"/>
    <d v="2026-04-23T00:00:00"/>
    <d v="2026-06-26T00:00:00"/>
    <s v="2000146180"/>
    <d v="2026-04-23T00:00:00"/>
    <m/>
    <m/>
    <s v="TUBULAR POLE 23M HIGH WS-50M/S"/>
    <n v="763200.99"/>
    <n v="7.6999999999999999E-2"/>
    <n v="64"/>
    <n v="10304"/>
    <n v="752896.99"/>
    <m/>
    <m/>
    <m/>
    <m/>
    <m/>
    <m/>
    <n v="219151998.90000001"/>
  </r>
  <r>
    <n v="4"/>
    <n v="83"/>
    <s v="FABIND9INRDZI"/>
    <x v="1"/>
    <s v="I"/>
    <s v="FI2627000170"/>
    <d v="2026-04-23T00:00:00"/>
    <s v="INR"/>
    <n v="766484.34"/>
    <d v="2026-06-06T00:00:00"/>
    <d v="2026-04-23T00:00:00"/>
    <d v="2026-06-26T00:00:00"/>
    <s v="2000146185"/>
    <d v="2026-04-23T00:00:00"/>
    <m/>
    <m/>
    <s v="TOWER12A TUBULR3 LEG W PLT &amp; FNCE-FAB"/>
    <n v="689835.90599999996"/>
    <n v="7.6999999999999999E-2"/>
    <n v="64"/>
    <n v="9314"/>
    <n v="680521.90599999996"/>
    <m/>
    <m/>
    <m/>
    <m/>
    <m/>
    <m/>
    <n v="219233515.66"/>
  </r>
  <r>
    <n v="4"/>
    <n v="84"/>
    <s v="FABIND9INRDZI"/>
    <x v="1"/>
    <s v="I"/>
    <s v="FI2627000171"/>
    <d v="2026-04-23T00:00:00"/>
    <s v="INR"/>
    <n v="766484.34"/>
    <d v="2026-06-06T00:00:00"/>
    <d v="2026-04-23T00:00:00"/>
    <d v="2026-06-26T00:00:00"/>
    <s v="2000146189"/>
    <d v="2026-04-23T00:00:00"/>
    <m/>
    <m/>
    <s v="TOWER12A TUBULR3 LEG W PLT &amp; FNCE-FAB"/>
    <n v="689835.90599999996"/>
    <n v="7.6999999999999999E-2"/>
    <n v="64"/>
    <n v="9314"/>
    <n v="680521.90599999996"/>
    <m/>
    <m/>
    <m/>
    <m/>
    <m/>
    <m/>
    <n v="219233515.66"/>
  </r>
  <r>
    <n v="4"/>
    <n v="85"/>
    <s v="FABIND9INRDZI"/>
    <x v="1"/>
    <s v="I"/>
    <s v="FI2627000175"/>
    <d v="2026-04-23T00:00:00"/>
    <s v="INR"/>
    <n v="766484.34"/>
    <d v="2026-06-06T00:00:00"/>
    <d v="2026-04-23T00:00:00"/>
    <d v="2026-06-26T00:00:00"/>
    <s v="2000146186"/>
    <d v="2026-04-23T00:00:00"/>
    <m/>
    <m/>
    <s v="TOWER12A TUBULR3 LEG W PLT &amp; FNCE-FAB"/>
    <n v="689835.90599999996"/>
    <n v="7.6999999999999999E-2"/>
    <n v="64"/>
    <n v="9314"/>
    <n v="680521.90599999996"/>
    <m/>
    <m/>
    <m/>
    <m/>
    <m/>
    <m/>
    <n v="219233515.66"/>
  </r>
  <r>
    <n v="5"/>
    <n v="86"/>
    <s v="FABIND9INRDZI"/>
    <x v="1"/>
    <s v="I"/>
    <s v="FI2627000181"/>
    <d v="2026-04-24T00:00:00"/>
    <s v="INR"/>
    <n v="766484.34"/>
    <d v="2026-06-07T00:00:00"/>
    <d v="2026-04-24T00:00:00"/>
    <d v="2026-06-27T00:00:00"/>
    <s v="2000146210"/>
    <d v="2026-04-24T00:00:00"/>
    <m/>
    <m/>
    <s v="TOWER12A TUBULR3 LEG W PLT &amp; FNCE-FAB"/>
    <n v="689835.90599999996"/>
    <n v="7.6999999999999999E-2"/>
    <n v="64"/>
    <n v="9314"/>
    <n v="680521.90599999996"/>
    <m/>
    <m/>
    <m/>
    <m/>
    <m/>
    <m/>
    <n v="219233515.66"/>
  </r>
  <r>
    <n v="5"/>
    <n v="87"/>
    <s v="FABIND9INRDZI"/>
    <x v="1"/>
    <s v="I"/>
    <s v="FI2627000187"/>
    <d v="2026-04-24T00:00:00"/>
    <s v="INR"/>
    <n v="766484.34"/>
    <d v="2026-06-07T00:00:00"/>
    <d v="2026-04-24T00:00:00"/>
    <d v="2026-06-27T00:00:00"/>
    <s v="2000146212"/>
    <d v="2026-04-24T00:00:00"/>
    <m/>
    <m/>
    <s v="TOWER12A TUBULR3 LEG W PLT &amp; FNCE-FAB"/>
    <n v="689835.90599999996"/>
    <n v="7.6999999999999999E-2"/>
    <n v="64"/>
    <n v="9314"/>
    <n v="680521.90599999996"/>
    <m/>
    <m/>
    <m/>
    <m/>
    <m/>
    <m/>
    <n v="219233515.66"/>
  </r>
  <r>
    <n v="6"/>
    <n v="88"/>
    <s v="FABIND9INRDZI"/>
    <x v="1"/>
    <s v="I"/>
    <s v="FI2627000191"/>
    <d v="2026-04-24T00:00:00"/>
    <s v="INR"/>
    <n v="1151810.98"/>
    <d v="2026-06-07T00:00:00"/>
    <d v="2026-04-27T00:00:00"/>
    <d v="2026-06-27T00:00:00"/>
    <s v="2000146217"/>
    <d v="2026-04-24T00:00:00"/>
    <m/>
    <m/>
    <s v="GBT60M11A-STR439M/STUBLR3L W FENCE"/>
    <n v="1036629.882"/>
    <n v="7.6999999999999999E-2"/>
    <n v="61"/>
    <n v="13340"/>
    <n v="1023289.882"/>
    <m/>
    <m/>
    <m/>
    <m/>
    <m/>
    <m/>
    <n v="218848189.02000001"/>
  </r>
  <r>
    <n v="6"/>
    <n v="89"/>
    <s v="FABIND9INRDZI"/>
    <x v="1"/>
    <s v="I"/>
    <s v="FI2627000201"/>
    <d v="2026-04-26T00:00:00"/>
    <s v="INR"/>
    <n v="766484.34"/>
    <d v="2026-06-09T00:00:00"/>
    <d v="2026-04-27T00:00:00"/>
    <d v="2026-06-29T00:00:00"/>
    <s v="2000146236"/>
    <d v="2026-04-26T00:00:00"/>
    <m/>
    <m/>
    <s v="TOWER12A TUBULR3 LEG W PLT &amp; FNCE-FAB"/>
    <n v="689835.90599999996"/>
    <n v="7.6999999999999999E-2"/>
    <n v="63"/>
    <n v="9168"/>
    <n v="680667.90599999996"/>
    <m/>
    <m/>
    <m/>
    <m/>
    <m/>
    <m/>
    <n v="219233515.66"/>
  </r>
  <r>
    <n v="0"/>
    <n v="90"/>
    <s v="FABIND9INRDZI"/>
    <x v="2"/>
    <s v="I"/>
    <s v="FI2526007253"/>
    <d v="2025-12-29T00:00:00"/>
    <s v="INR"/>
    <n v="17142711.34"/>
    <d v="2026-04-28T00:00:00"/>
    <d v="2026-02-09T00:00:00"/>
    <d v="2026-05-18T00:00:00"/>
    <m/>
    <d v="2025-12-29T00:00:00"/>
    <m/>
    <m/>
    <m/>
    <n v="15428440.206"/>
    <n v="7.6999999999999999E-2"/>
    <n v="98"/>
    <n v="318967"/>
    <n v="15109473.206"/>
    <m/>
    <m/>
    <m/>
    <m/>
    <m/>
    <m/>
    <n v="66187288.659999996"/>
  </r>
  <r>
    <n v="0"/>
    <n v="91"/>
    <s v="FABIND9INRDZI"/>
    <x v="2"/>
    <s v="I"/>
    <s v="FI2526007571"/>
    <d v="2026-01-15T00:00:00"/>
    <s v="INR"/>
    <n v="40214"/>
    <d v="2026-05-15T00:00:00"/>
    <d v="2026-02-09T00:00:00"/>
    <d v="2026-06-04T00:00:00"/>
    <m/>
    <d v="2026-01-15T00:00:00"/>
    <m/>
    <m/>
    <m/>
    <n v="36192.6"/>
    <n v="7.6999999999999999E-2"/>
    <n v="115"/>
    <n v="878"/>
    <n v="35314.6"/>
    <m/>
    <m/>
    <m/>
    <m/>
    <m/>
    <m/>
    <n v="83289786"/>
  </r>
  <r>
    <n v="0"/>
    <n v="92"/>
    <s v="FABIND9INRDZI"/>
    <x v="2"/>
    <s v="I"/>
    <s v="FI2526007776"/>
    <d v="2026-01-21T00:00:00"/>
    <s v="INR"/>
    <n v="10602"/>
    <d v="2026-05-21T00:00:00"/>
    <d v="2026-02-09T00:00:00"/>
    <d v="2026-06-10T00:00:00"/>
    <m/>
    <d v="2026-01-21T00:00:00"/>
    <m/>
    <m/>
    <m/>
    <n v="9541.8000000000011"/>
    <n v="7.6999999999999999E-2"/>
    <n v="121"/>
    <n v="244"/>
    <n v="9297.8000000000011"/>
    <m/>
    <m/>
    <m/>
    <m/>
    <m/>
    <m/>
    <n v="83319398"/>
  </r>
  <r>
    <n v="0"/>
    <n v="93"/>
    <s v="FABIND9INRDZI"/>
    <x v="2"/>
    <s v="I"/>
    <s v="FI2526007863"/>
    <d v="2026-01-24T00:00:00"/>
    <s v="INR"/>
    <n v="4838730"/>
    <d v="2026-05-24T00:00:00"/>
    <d v="2026-02-09T00:00:00"/>
    <d v="2026-06-13T00:00:00"/>
    <m/>
    <d v="2026-01-24T00:00:00"/>
    <m/>
    <m/>
    <m/>
    <n v="4354857"/>
    <n v="7.6999999999999999E-2"/>
    <n v="124"/>
    <n v="113918"/>
    <n v="4240939"/>
    <m/>
    <m/>
    <m/>
    <m/>
    <m/>
    <m/>
    <n v="78491270"/>
  </r>
  <r>
    <n v="0"/>
    <n v="94"/>
    <s v="FABIND9INRDZI"/>
    <x v="2"/>
    <s v="I"/>
    <s v="FI2526008626"/>
    <d v="2026-02-19T00:00:00"/>
    <s v="INR"/>
    <n v="84594.2"/>
    <d v="2026-06-19T00:00:00"/>
    <d v="2026-04-17T00:00:00"/>
    <d v="2026-07-09T00:00:00"/>
    <m/>
    <d v="2026-02-19T00:00:00"/>
    <m/>
    <m/>
    <m/>
    <n v="76134.78"/>
    <n v="7.6999999999999999E-2"/>
    <n v="83"/>
    <n v="1333"/>
    <n v="74801.78"/>
    <m/>
    <m/>
    <m/>
    <m/>
    <m/>
    <m/>
    <n v="83245405.799999997"/>
  </r>
  <r>
    <n v="0"/>
    <n v="95"/>
    <s v="FABIND9INRDZI"/>
    <x v="2"/>
    <s v="I"/>
    <s v="FI2526008627"/>
    <d v="2026-02-19T00:00:00"/>
    <s v="INR"/>
    <n v="92346.8"/>
    <d v="2026-06-19T00:00:00"/>
    <d v="2026-04-17T00:00:00"/>
    <d v="2026-07-09T00:00:00"/>
    <m/>
    <d v="2026-02-19T00:00:00"/>
    <m/>
    <m/>
    <m/>
    <n v="83112.12000000001"/>
    <n v="7.6999999999999999E-2"/>
    <n v="83"/>
    <n v="1455"/>
    <n v="81657.12000000001"/>
    <m/>
    <m/>
    <m/>
    <m/>
    <m/>
    <m/>
    <n v="83237653.200000003"/>
  </r>
  <r>
    <n v="0"/>
    <n v="96"/>
    <s v="FABIND9INRDZI"/>
    <x v="2"/>
    <s v="I"/>
    <s v="FI2526008643"/>
    <d v="2026-02-20T00:00:00"/>
    <s v="INR"/>
    <n v="8340.24"/>
    <d v="2026-06-20T00:00:00"/>
    <d v="2026-04-17T00:00:00"/>
    <d v="2026-07-10T00:00:00"/>
    <m/>
    <d v="2026-02-20T00:00:00"/>
    <m/>
    <m/>
    <m/>
    <n v="7506.2160000000003"/>
    <n v="7.6999999999999999E-2"/>
    <n v="84"/>
    <n v="133"/>
    <n v="7373.2160000000003"/>
    <m/>
    <m/>
    <m/>
    <m/>
    <m/>
    <m/>
    <n v="83321659.760000005"/>
  </r>
  <r>
    <n v="0"/>
    <n v="97"/>
    <s v="FABIND9INRDZI"/>
    <x v="2"/>
    <s v="I"/>
    <s v="FI2526008847"/>
    <d v="2026-02-24T00:00:00"/>
    <s v="INR"/>
    <n v="1324019"/>
    <d v="2026-06-24T00:00:00"/>
    <d v="2026-04-17T00:00:00"/>
    <d v="2026-07-14T00:00:00"/>
    <m/>
    <d v="2026-02-24T00:00:00"/>
    <m/>
    <m/>
    <m/>
    <n v="1191617.1000000001"/>
    <n v="7.6999999999999999E-2"/>
    <n v="88"/>
    <n v="22122"/>
    <n v="1169495.1000000001"/>
    <m/>
    <m/>
    <m/>
    <m/>
    <m/>
    <m/>
    <n v="82005981"/>
  </r>
  <r>
    <n v="0"/>
    <n v="98"/>
    <s v="FABIND9INRDZI"/>
    <x v="2"/>
    <s v="I"/>
    <s v="FI2526009296"/>
    <d v="2026-03-10T00:00:00"/>
    <s v="INR"/>
    <n v="548932.46"/>
    <d v="2026-07-08T00:00:00"/>
    <d v="2026-04-17T00:00:00"/>
    <d v="2026-07-28T00:00:00"/>
    <m/>
    <d v="2026-03-10T00:00:00"/>
    <m/>
    <m/>
    <m/>
    <n v="494039.21399999998"/>
    <n v="7.6999999999999999E-2"/>
    <n v="102"/>
    <n v="10631"/>
    <n v="483408.21399999998"/>
    <m/>
    <m/>
    <m/>
    <m/>
    <m/>
    <m/>
    <n v="82781067.540000007"/>
  </r>
  <r>
    <n v="0"/>
    <n v="99"/>
    <s v="FABIND9INRDZI"/>
    <x v="2"/>
    <s v="I"/>
    <s v="FI2526009297"/>
    <d v="2026-03-10T00:00:00"/>
    <s v="INR"/>
    <n v="1132374.02"/>
    <d v="2026-07-08T00:00:00"/>
    <d v="2026-04-17T00:00:00"/>
    <d v="2026-07-28T00:00:00"/>
    <m/>
    <d v="2026-03-10T00:00:00"/>
    <m/>
    <m/>
    <m/>
    <n v="1019136.618"/>
    <n v="7.6999999999999999E-2"/>
    <n v="102"/>
    <n v="21930"/>
    <n v="997206.61800000002"/>
    <m/>
    <m/>
    <m/>
    <m/>
    <m/>
    <m/>
    <n v="82197625.980000004"/>
  </r>
  <r>
    <n v="0"/>
    <n v="100"/>
    <s v="FABIND9INRDZI"/>
    <x v="2"/>
    <s v="I"/>
    <s v="FI2526009375"/>
    <d v="2026-03-13T00:00:00"/>
    <s v="INR"/>
    <n v="2100392.92"/>
    <d v="2026-07-11T00:00:00"/>
    <d v="2026-04-17T00:00:00"/>
    <d v="2026-07-31T00:00:00"/>
    <m/>
    <d v="2026-03-13T00:00:00"/>
    <m/>
    <m/>
    <m/>
    <n v="1890353.628"/>
    <n v="7.6999999999999999E-2"/>
    <n v="105"/>
    <n v="41873"/>
    <n v="1848480.628"/>
    <m/>
    <m/>
    <m/>
    <m/>
    <m/>
    <m/>
    <n v="81229607.079999998"/>
  </r>
  <r>
    <n v="0"/>
    <n v="101"/>
    <s v="FABIND9INRDZI"/>
    <x v="2"/>
    <s v="I"/>
    <s v="FI2526009442"/>
    <d v="2026-03-16T00:00:00"/>
    <s v="INR"/>
    <n v="2956569.06"/>
    <d v="2026-07-14T00:00:00"/>
    <d v="2026-04-17T00:00:00"/>
    <d v="2026-08-03T00:00:00"/>
    <m/>
    <d v="2026-03-16T00:00:00"/>
    <m/>
    <m/>
    <m/>
    <n v="2660912.1540000001"/>
    <n v="7.6999999999999999E-2"/>
    <n v="108"/>
    <n v="60625"/>
    <n v="2600287.1540000001"/>
    <m/>
    <m/>
    <m/>
    <m/>
    <m/>
    <m/>
    <n v="80373430.939999998"/>
  </r>
  <r>
    <n v="0"/>
    <n v="102"/>
    <s v="FABIND9INRDZI"/>
    <x v="2"/>
    <s v="I"/>
    <s v="FI2526009688"/>
    <d v="2026-03-26T00:00:00"/>
    <s v="INR"/>
    <n v="451109.28"/>
    <d v="2026-07-24T00:00:00"/>
    <d v="2026-04-17T00:00:00"/>
    <d v="2026-08-13T00:00:00"/>
    <m/>
    <d v="2026-03-26T00:00:00"/>
    <m/>
    <m/>
    <m/>
    <n v="405998.35200000001"/>
    <n v="7.6999999999999999E-2"/>
    <n v="118"/>
    <n v="10107"/>
    <n v="395891.35200000001"/>
    <m/>
    <m/>
    <m/>
    <m/>
    <m/>
    <m/>
    <n v="82878890.719999999"/>
  </r>
  <r>
    <n v="0"/>
    <n v="103"/>
    <s v="FABIND9INRDZI"/>
    <x v="2"/>
    <s v="I"/>
    <s v="FI2526009689"/>
    <d v="2026-03-26T00:00:00"/>
    <s v="INR"/>
    <n v="155809.56"/>
    <d v="2026-07-24T00:00:00"/>
    <d v="2026-04-17T00:00:00"/>
    <d v="2026-08-13T00:00:00"/>
    <m/>
    <d v="2026-03-26T00:00:00"/>
    <m/>
    <m/>
    <m/>
    <n v="140228.60399999999"/>
    <n v="7.6999999999999999E-2"/>
    <n v="118"/>
    <n v="3491"/>
    <n v="136737.60399999999"/>
    <m/>
    <m/>
    <m/>
    <m/>
    <m/>
    <m/>
    <n v="83174190.439999998"/>
  </r>
  <r>
    <n v="0"/>
    <n v="104"/>
    <s v="FABIND9INRDZI"/>
    <x v="2"/>
    <s v="I"/>
    <s v="FI2526009710"/>
    <d v="2026-03-30T00:00:00"/>
    <s v="INR"/>
    <n v="1625674.2"/>
    <d v="2026-07-28T00:00:00"/>
    <d v="2026-04-17T00:00:00"/>
    <d v="2026-08-17T00:00:00"/>
    <m/>
    <d v="2026-03-30T00:00:00"/>
    <m/>
    <m/>
    <m/>
    <n v="1463106.78"/>
    <n v="7.6999999999999999E-2"/>
    <n v="122"/>
    <n v="37656"/>
    <n v="1425450.78"/>
    <m/>
    <m/>
    <m/>
    <m/>
    <m/>
    <m/>
    <n v="81704325.799999997"/>
  </r>
  <r>
    <n v="0"/>
    <n v="105"/>
    <s v="FABIND9INRDZI"/>
    <x v="2"/>
    <s v="I"/>
    <s v="FI2526009711"/>
    <d v="2026-03-30T00:00:00"/>
    <s v="INR"/>
    <n v="1627034.74"/>
    <d v="2026-07-28T00:00:00"/>
    <d v="2026-04-17T00:00:00"/>
    <d v="2026-08-17T00:00:00"/>
    <m/>
    <d v="2026-03-30T00:00:00"/>
    <m/>
    <m/>
    <m/>
    <n v="1464331.2660000001"/>
    <n v="7.6999999999999999E-2"/>
    <n v="122"/>
    <n v="37687"/>
    <n v="1426644.2660000001"/>
    <m/>
    <m/>
    <m/>
    <m/>
    <m/>
    <m/>
    <n v="81702965.260000005"/>
  </r>
  <r>
    <n v="1"/>
    <n v="106"/>
    <s v="FABIND9INRDZI"/>
    <x v="2"/>
    <s v="I"/>
    <s v="FI2627000103"/>
    <d v="2026-04-17T00:00:00"/>
    <s v="INR"/>
    <n v="5560.16"/>
    <d v="2026-08-15T00:00:00"/>
    <d v="2026-04-23T00:00:00"/>
    <d v="2026-09-04T00:00:00"/>
    <n v="91749"/>
    <d v="2026-04-17T00:00:00"/>
    <m/>
    <m/>
    <s v="C1B1124001756002-Suprt Plate Bsbr 2 Bsbr"/>
    <n v="5004.1440000000002"/>
    <n v="7.6999999999999999E-2"/>
    <n v="134"/>
    <n v="141"/>
    <n v="4863.1440000000002"/>
    <m/>
    <m/>
    <m/>
    <m/>
    <m/>
    <m/>
    <n v="83324439.840000004"/>
  </r>
  <r>
    <n v="1"/>
    <n v="107"/>
    <s v="FABIND9INRDZI"/>
    <x v="2"/>
    <s v="I"/>
    <s v="FI2627000138"/>
    <d v="2026-04-21T00:00:00"/>
    <s v="INR"/>
    <n v="357129.36"/>
    <d v="2026-08-19T00:00:00"/>
    <d v="2026-04-23T00:00:00"/>
    <d v="2026-09-08T00:00:00"/>
    <s v="NSK/7547"/>
    <d v="2026-04-21T00:00:00"/>
    <m/>
    <m/>
    <s v="PTD5903864004-Struct ISA 65X65X6"/>
    <n v="321416.424"/>
    <n v="7.6999999999999999E-2"/>
    <n v="138"/>
    <n v="9357"/>
    <n v="312059.424"/>
    <m/>
    <m/>
    <m/>
    <m/>
    <m/>
    <m/>
    <n v="82972870.640000001"/>
  </r>
  <r>
    <n v="1"/>
    <n v="108"/>
    <s v="FABIND9INRDZI"/>
    <x v="2"/>
    <s v="I"/>
    <s v="FI2627000141"/>
    <d v="2026-04-21T00:00:00"/>
    <s v="INR"/>
    <n v="418134.18"/>
    <d v="2026-08-19T00:00:00"/>
    <d v="2026-04-23T00:00:00"/>
    <d v="2026-09-08T00:00:00"/>
    <s v="NSK/7546"/>
    <d v="2026-04-21T00:00:00"/>
    <m/>
    <m/>
    <s v="PTD5903894001-Struct ISA 7575X8-3230L"/>
    <n v="376320.76199999999"/>
    <n v="7.6999999999999999E-2"/>
    <n v="138"/>
    <n v="10956"/>
    <n v="365364.76199999999"/>
    <m/>
    <m/>
    <m/>
    <m/>
    <m/>
    <m/>
    <n v="82911865.819999993"/>
  </r>
  <r>
    <n v="1"/>
    <n v="109"/>
    <s v="FABIND9INRDZI"/>
    <x v="2"/>
    <s v="I"/>
    <s v="FI2627000145"/>
    <d v="2026-04-21T00:00:00"/>
    <s v="INR"/>
    <n v="479139"/>
    <d v="2026-08-19T00:00:00"/>
    <d v="2026-04-23T00:00:00"/>
    <d v="2026-09-08T00:00:00"/>
    <s v="NSK/7545"/>
    <d v="2026-04-21T00:00:00"/>
    <m/>
    <m/>
    <s v="PTD5903754003-FB M39 X1080"/>
    <n v="431225.10000000003"/>
    <n v="7.6999999999999999E-2"/>
    <n v="138"/>
    <n v="12554"/>
    <n v="418671.10000000003"/>
    <m/>
    <m/>
    <m/>
    <m/>
    <m/>
    <m/>
    <n v="82850861"/>
  </r>
  <r>
    <n v="1"/>
    <n v="110"/>
    <s v="FABIND9INRDZI"/>
    <x v="2"/>
    <s v="I"/>
    <s v="FI2627000147"/>
    <d v="2026-04-21T00:00:00"/>
    <s v="INR"/>
    <n v="692866.5"/>
    <d v="2026-08-19T00:00:00"/>
    <d v="2026-04-23T00:00:00"/>
    <d v="2026-09-08T00:00:00"/>
    <s v="NSK/7548"/>
    <d v="2026-04-21T00:00:00"/>
    <m/>
    <m/>
    <s v="PTD5903754002 FB M36X1080 Non-PG 420 KV"/>
    <n v="623579.85"/>
    <n v="7.6999999999999999E-2"/>
    <n v="138"/>
    <n v="18154"/>
    <n v="605425.85"/>
    <m/>
    <m/>
    <m/>
    <m/>
    <m/>
    <m/>
    <n v="82637133.5"/>
  </r>
  <r>
    <n v="2"/>
    <n v="111"/>
    <s v="FABIND9INRDZI"/>
    <x v="2"/>
    <s v="I"/>
    <s v="FI2627000162"/>
    <d v="2026-04-22T00:00:00"/>
    <s v="INR"/>
    <n v="155809.56"/>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x v="2"/>
    <s v="I"/>
    <s v="FI2627000163"/>
    <d v="2026-04-22T00:00:00"/>
    <s v="INR"/>
    <n v="230361.96"/>
    <d v="2026-08-20T00:00:00"/>
    <d v="2026-04-23T00:00:00"/>
    <d v="2026-09-09T00:00:00"/>
    <s v="NSK/7582"/>
    <d v="2026-04-22T00:00:00"/>
    <m/>
    <m/>
    <s v="PTD5903542001-Platform wt Ladder 1450 Ht"/>
    <n v="207325.764"/>
    <n v="7.6999999999999999E-2"/>
    <n v="139"/>
    <n v="6079"/>
    <n v="201246.764"/>
    <m/>
    <m/>
    <m/>
    <m/>
    <m/>
    <m/>
    <n v="83099638.040000007"/>
  </r>
  <r>
    <n v="3"/>
    <n v="113"/>
    <s v="FABIND9INRDZI"/>
    <x v="2"/>
    <s v="I"/>
    <s v="FI2627000166"/>
    <d v="2026-04-23T00:00:00"/>
    <s v="INR"/>
    <n v="129841.3"/>
    <d v="2026-08-21T00:00:00"/>
    <d v="2026-04-23T00:00:00"/>
    <d v="2026-09-10T00:00:00"/>
    <s v="NSK/7583"/>
    <d v="2026-04-23T00:00:00"/>
    <m/>
    <m/>
    <s v="PTD5903542001-Platform wt Ladder 1450 Ht"/>
    <n v="116857.17"/>
    <n v="7.6999999999999999E-2"/>
    <n v="140"/>
    <n v="3451"/>
    <n v="113406.17"/>
    <m/>
    <m/>
    <m/>
    <m/>
    <m/>
    <m/>
    <n v="83200158.700000003"/>
  </r>
  <r>
    <n v="3"/>
    <n v="114"/>
    <s v="FABIND9INRDZI"/>
    <x v="2"/>
    <s v="I"/>
    <s v="FI2627000174"/>
    <d v="2026-04-23T00:00:00"/>
    <s v="INR"/>
    <n v="150509"/>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Invoice Disc Tranch"/>
    <s v="No."/>
    <s v="Account Code"/>
    <x v="0"/>
    <s v="Instrument Type"/>
    <s v="Instrument Number"/>
    <s v="Instrument Date"/>
    <s v="Instrument Currency"/>
    <s v="Instrument Amount"/>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x v="1"/>
    <s v="I"/>
    <s v="FI2627000000"/>
    <d v="2026-04-02T00:00:00"/>
    <s v="INR"/>
    <n v="561855.81999999995"/>
    <d v="2026-05-12T00:00:00"/>
    <d v="2026-04-17T00:00:00"/>
    <d v="2026-06-01T00:00:00"/>
    <n v="10001"/>
    <d v="2026-04-02T00:00:00"/>
    <m/>
    <m/>
    <s v="NBT 40Mtr Tower"/>
    <n v="505670.23799999995"/>
    <n v="7.6999999999999999E-2"/>
    <n v="45"/>
    <n v="4800"/>
    <n v="500870.23799999995"/>
    <m/>
    <m/>
    <m/>
    <m/>
    <n v="46174"/>
    <n v="4925227"/>
    <n v="274438144.18000001"/>
  </r>
  <r>
    <n v="1"/>
    <n v="2"/>
    <s v="FABIND9INRDZI"/>
    <x v="1"/>
    <s v="I"/>
    <s v="FI2627000001"/>
    <d v="2026-04-02T00:00:00"/>
    <s v="INR"/>
    <n v="561855.81999999995"/>
    <d v="2026-05-12T00:00:00"/>
    <d v="2026-04-17T00:00:00"/>
    <d v="2026-06-01T00:00:00"/>
    <n v="10003"/>
    <d v="2026-04-02T00:00:00"/>
    <m/>
    <m/>
    <s v="NBT 40Mtr Tower"/>
    <n v="505670.23799999995"/>
    <n v="7.6999999999999999E-2"/>
    <n v="45"/>
    <n v="4800"/>
    <n v="500870.23799999995"/>
    <m/>
    <m/>
    <m/>
    <m/>
    <m/>
    <m/>
    <n v="274438144.18000001"/>
  </r>
  <r>
    <n v="1"/>
    <n v="3"/>
    <s v="FABIND9INRDZI"/>
    <x v="1"/>
    <s v="I"/>
    <s v="FI2627000002"/>
    <d v="2026-04-02T00:00:00"/>
    <s v="INR"/>
    <n v="561855.81999999995"/>
    <d v="2026-05-12T00:00:00"/>
    <d v="2026-04-17T00:00:00"/>
    <d v="2026-06-01T00:00:00"/>
    <n v="10002"/>
    <d v="2026-04-02T00:00:00"/>
    <m/>
    <m/>
    <s v="NBT 40Mtr Tower"/>
    <n v="505670.23799999995"/>
    <n v="7.6999999999999999E-2"/>
    <n v="45"/>
    <n v="4800"/>
    <n v="500870.23799999995"/>
    <m/>
    <m/>
    <m/>
    <m/>
    <m/>
    <m/>
    <n v="274438144.18000001"/>
  </r>
  <r>
    <n v="1"/>
    <n v="4"/>
    <s v="FABIND9INRDZI"/>
    <x v="1"/>
    <s v="I"/>
    <s v="FI2627000003"/>
    <d v="2026-04-02T00:00:00"/>
    <s v="INR"/>
    <n v="561855.81999999995"/>
    <d v="2026-05-12T00:00:00"/>
    <d v="2026-04-17T00:00:00"/>
    <d v="2026-06-01T00:00:00"/>
    <n v="10004"/>
    <d v="2026-04-02T00:00:00"/>
    <m/>
    <m/>
    <s v="NBT 40Mtr Tower"/>
    <n v="505670.23799999995"/>
    <n v="7.6999999999999999E-2"/>
    <n v="45"/>
    <n v="4800"/>
    <n v="500870.23799999995"/>
    <m/>
    <m/>
    <m/>
    <m/>
    <m/>
    <m/>
    <n v="274438144.18000001"/>
  </r>
  <r>
    <n v="1"/>
    <n v="5"/>
    <s v="FABIND9INRDZI"/>
    <x v="1"/>
    <s v="I"/>
    <s v="FI2627000005"/>
    <d v="2026-04-03T00:00:00"/>
    <s v="INR"/>
    <n v="561855.81999999995"/>
    <d v="2026-05-13T00:00:00"/>
    <d v="2026-04-17T00:00:00"/>
    <d v="2026-06-02T00:00:00"/>
    <n v="10005"/>
    <d v="2026-04-03T00:00:00"/>
    <m/>
    <m/>
    <s v="NBT 40Mtr Tower"/>
    <n v="505670.23799999995"/>
    <n v="7.6999999999999999E-2"/>
    <n v="46"/>
    <n v="4907"/>
    <n v="500763.23799999995"/>
    <m/>
    <m/>
    <m/>
    <m/>
    <m/>
    <m/>
    <n v="274438144.18000001"/>
  </r>
  <r>
    <n v="1"/>
    <n v="6"/>
    <s v="FABIND9INRDZI"/>
    <x v="1"/>
    <s v="I"/>
    <s v="FI2627000006"/>
    <d v="2026-04-03T00:00:00"/>
    <s v="INR"/>
    <n v="561855.81999999995"/>
    <d v="2026-05-13T00:00:00"/>
    <d v="2026-04-17T00:00:00"/>
    <d v="2026-06-02T00:00:00"/>
    <n v="10006"/>
    <d v="2026-04-03T00:00:00"/>
    <m/>
    <m/>
    <s v="NBT 40Mtr Tower"/>
    <n v="505670.23799999995"/>
    <n v="7.6999999999999999E-2"/>
    <n v="46"/>
    <n v="4907"/>
    <n v="500763.23799999995"/>
    <m/>
    <m/>
    <m/>
    <m/>
    <m/>
    <m/>
    <n v="274438144.18000001"/>
  </r>
  <r>
    <n v="1"/>
    <n v="7"/>
    <s v="FABIND9INRDZI"/>
    <x v="1"/>
    <s v="I"/>
    <s v="FI2627000016"/>
    <d v="2026-04-03T00:00:00"/>
    <s v="INR"/>
    <n v="442595.58"/>
    <d v="2026-05-13T00:00:00"/>
    <d v="2026-04-17T00:00:00"/>
    <d v="2026-06-02T00:00:00"/>
    <n v="10007"/>
    <d v="2026-04-03T00:00:00"/>
    <m/>
    <m/>
    <s v="TOWER GBT 3Legged VM 30M 170KMPH"/>
    <n v="398336.022"/>
    <n v="7.6999999999999999E-2"/>
    <n v="46"/>
    <n v="3865"/>
    <n v="394471.022"/>
    <m/>
    <m/>
    <m/>
    <m/>
    <m/>
    <m/>
    <n v="274557404.42000002"/>
  </r>
  <r>
    <n v="1"/>
    <n v="8"/>
    <s v="FABIND9INRDZI"/>
    <x v="1"/>
    <s v="I"/>
    <s v="FI2627000027"/>
    <d v="2026-04-05T00:00:00"/>
    <s v="INR"/>
    <n v="752314.9"/>
    <d v="2026-05-15T00:00:00"/>
    <d v="2026-04-17T00:00:00"/>
    <d v="2026-06-04T00:00:00"/>
    <n v="78287"/>
    <d v="2026-04-05T00:00:00"/>
    <m/>
    <m/>
    <s v="BIL - Tower GBT 40M 200 KMPH"/>
    <n v="677083.41"/>
    <n v="7.6999999999999999E-2"/>
    <n v="48"/>
    <n v="6856"/>
    <n v="670227.41"/>
    <m/>
    <m/>
    <m/>
    <m/>
    <m/>
    <m/>
    <n v="274247685.10000002"/>
  </r>
  <r>
    <n v="1"/>
    <n v="9"/>
    <s v="FABIND9INRDZI"/>
    <x v="1"/>
    <s v="I"/>
    <s v="FI2627000030"/>
    <d v="2026-04-05T00:00:00"/>
    <s v="INR"/>
    <n v="689850.92"/>
    <d v="2026-05-15T00:00:00"/>
    <d v="2026-04-17T00:00:00"/>
    <d v="2026-06-04T00:00:00"/>
    <n v="10010"/>
    <d v="2026-04-05T00:00:00"/>
    <m/>
    <m/>
    <s v="INDUS SOLAR STRUCTURE(2PX5-30/20 DEGREE)"/>
    <n v="620865.8280000001"/>
    <n v="7.6999999999999999E-2"/>
    <n v="48"/>
    <n v="6287"/>
    <n v="614578.8280000001"/>
    <m/>
    <m/>
    <m/>
    <m/>
    <m/>
    <m/>
    <n v="274310149.07999998"/>
  </r>
  <r>
    <n v="1"/>
    <n v="10"/>
    <s v="FABIND9INRDZI"/>
    <x v="1"/>
    <s v="I"/>
    <s v="FI2627000031"/>
    <d v="2026-04-05T00:00:00"/>
    <s v="INR"/>
    <n v="689850.92"/>
    <d v="2026-05-15T00:00:00"/>
    <d v="2026-04-17T00:00:00"/>
    <d v="2026-06-04T00:00:00"/>
    <n v="10011"/>
    <d v="2026-04-05T00:00:00"/>
    <m/>
    <m/>
    <s v="INDUS SOLAR STRUCTURE(2PX5-30/20 DEGREE)"/>
    <n v="620865.8280000001"/>
    <n v="7.6999999999999999E-2"/>
    <n v="48"/>
    <n v="6287"/>
    <n v="614578.8280000001"/>
    <m/>
    <m/>
    <m/>
    <m/>
    <m/>
    <m/>
    <n v="274310149.07999998"/>
  </r>
  <r>
    <n v="1"/>
    <n v="11"/>
    <s v="FABIND9INRDZI"/>
    <x v="1"/>
    <s v="I"/>
    <s v="FI2627000032"/>
    <d v="2026-04-05T00:00:00"/>
    <s v="INR"/>
    <n v="232106"/>
    <d v="2026-05-15T00:00:00"/>
    <d v="2026-04-17T00:00:00"/>
    <d v="2026-06-04T00:00:00"/>
    <n v="10014"/>
    <d v="2026-04-05T00:00:00"/>
    <m/>
    <m/>
    <s v="CIP RITA 15MTR"/>
    <n v="208895.4"/>
    <n v="7.6999999999999999E-2"/>
    <n v="48"/>
    <n v="2115"/>
    <n v="206780.4"/>
    <m/>
    <m/>
    <m/>
    <m/>
    <m/>
    <m/>
    <n v="274767894"/>
  </r>
  <r>
    <n v="2"/>
    <n v="12"/>
    <s v="FABIND9INRDZI"/>
    <x v="1"/>
    <s v="I"/>
    <s v="FI2627000043"/>
    <d v="2026-04-06T00:00:00"/>
    <s v="INR"/>
    <n v="647363.34"/>
    <d v="2026-05-16T00:00:00"/>
    <d v="2026-04-17T00:00:00"/>
    <d v="2026-06-05T00:00:00"/>
    <n v="10016"/>
    <d v="2026-04-06T00:00:00"/>
    <m/>
    <m/>
    <s v="TowerGBT-3 Leg Tubular VT30M 200 KMPH"/>
    <n v="582627.00599999994"/>
    <n v="7.6999999999999999E-2"/>
    <n v="49"/>
    <n v="6023"/>
    <n v="576604.00599999994"/>
    <m/>
    <m/>
    <m/>
    <m/>
    <m/>
    <m/>
    <n v="274352636.66000003"/>
  </r>
  <r>
    <n v="2"/>
    <n v="13"/>
    <s v="FABIND9INRDZI"/>
    <x v="1"/>
    <s v="I"/>
    <s v="FI2627000044"/>
    <d v="2026-04-06T00:00:00"/>
    <s v="INR"/>
    <n v="647363.34"/>
    <d v="2026-05-16T00:00:00"/>
    <d v="2026-04-17T00:00:00"/>
    <d v="2026-06-05T00:00:00"/>
    <n v="10017"/>
    <d v="2026-04-06T00:00:00"/>
    <m/>
    <m/>
    <s v="TowerGBT-3 Leg Tubular VT30M 200 KMPH"/>
    <n v="582627.00599999994"/>
    <n v="7.6999999999999999E-2"/>
    <n v="49"/>
    <n v="6023"/>
    <n v="576604.00599999994"/>
    <m/>
    <m/>
    <m/>
    <m/>
    <m/>
    <m/>
    <n v="274352636.66000003"/>
  </r>
  <r>
    <n v="2"/>
    <n v="14"/>
    <s v="FABIND9INRDZI"/>
    <x v="1"/>
    <s v="I"/>
    <s v="FI2627000045"/>
    <d v="2026-04-06T00:00:00"/>
    <s v="INR"/>
    <n v="647363.34"/>
    <d v="2026-05-16T00:00:00"/>
    <d v="2026-04-17T00:00:00"/>
    <d v="2026-06-05T00:00:00"/>
    <n v="10018"/>
    <d v="2026-04-06T00:00:00"/>
    <m/>
    <m/>
    <s v="TowerGBT-3 Leg Tubular VT30M 200 KMPH"/>
    <n v="582627.00599999994"/>
    <n v="7.6999999999999999E-2"/>
    <n v="49"/>
    <n v="6023"/>
    <n v="576604.00599999994"/>
    <m/>
    <m/>
    <m/>
    <m/>
    <m/>
    <m/>
    <n v="274352636.66000003"/>
  </r>
  <r>
    <n v="2"/>
    <n v="15"/>
    <s v="FABIND9INRDZI"/>
    <x v="1"/>
    <s v="I"/>
    <s v="FI2627000047"/>
    <d v="2026-04-06T00:00:00"/>
    <s v="INR"/>
    <n v="647363.34"/>
    <d v="2026-05-16T00:00:00"/>
    <d v="2026-04-17T00:00:00"/>
    <d v="2026-06-05T00:00:00"/>
    <n v="10019"/>
    <d v="2026-04-06T00:00:00"/>
    <m/>
    <m/>
    <s v="TowerGBT-3 Leg Tubular VT30M 200 KMPH"/>
    <n v="582627.00599999994"/>
    <n v="7.6999999999999999E-2"/>
    <n v="49"/>
    <n v="6023"/>
    <n v="576604.00599999994"/>
    <m/>
    <m/>
    <m/>
    <m/>
    <m/>
    <m/>
    <n v="274352636.66000003"/>
  </r>
  <r>
    <n v="3"/>
    <n v="16"/>
    <s v="FABIND9INRDZI"/>
    <x v="1"/>
    <s v="I"/>
    <s v="FI2627000052"/>
    <d v="2026-04-08T00:00:00"/>
    <s v="INR"/>
    <n v="647363.34"/>
    <d v="2026-05-18T00:00:00"/>
    <d v="2026-04-17T00:00:00"/>
    <d v="2026-06-07T00:00:00"/>
    <n v="10020"/>
    <d v="2026-04-08T00:00:00"/>
    <m/>
    <m/>
    <s v="TowerGBT-3 Leg Tubular VT30M 200 KMPH"/>
    <n v="582627.00599999994"/>
    <n v="7.6999999999999999E-2"/>
    <n v="51"/>
    <n v="6268"/>
    <n v="576359.00599999994"/>
    <m/>
    <m/>
    <m/>
    <m/>
    <m/>
    <m/>
    <n v="274352636.66000003"/>
  </r>
  <r>
    <n v="3"/>
    <n v="17"/>
    <s v="FABIND9INRDZI"/>
    <x v="1"/>
    <s v="I"/>
    <s v="FI2627000063"/>
    <d v="2026-04-10T00:00:00"/>
    <s v="INR"/>
    <n v="774998.04"/>
    <d v="2026-05-20T00:00:00"/>
    <d v="2026-04-17T00:00:00"/>
    <d v="2026-06-09T00:00:00"/>
    <n v="778"/>
    <d v="2026-04-10T00:00:00"/>
    <m/>
    <m/>
    <s v="BIL - Tower GBT 40M 200 KMPH"/>
    <n v="697498.23600000003"/>
    <n v="7.6999999999999999E-2"/>
    <n v="53"/>
    <n v="7799"/>
    <n v="689699.23600000003"/>
    <m/>
    <m/>
    <m/>
    <m/>
    <m/>
    <m/>
    <n v="274225001.95999998"/>
  </r>
  <r>
    <n v="3"/>
    <n v="18"/>
    <s v="FABIND9INRDZI"/>
    <x v="1"/>
    <s v="I"/>
    <s v="FI2627000064"/>
    <d v="2026-04-10T00:00:00"/>
    <s v="INR"/>
    <n v="774998.04"/>
    <d v="2026-05-20T00:00:00"/>
    <d v="2026-04-17T00:00:00"/>
    <d v="2026-06-09T00:00:00"/>
    <n v="10024"/>
    <d v="2026-04-10T00:00:00"/>
    <m/>
    <m/>
    <s v="BIL - Tower GBT 40M 200 KMPH"/>
    <n v="697498.23600000003"/>
    <n v="7.6999999999999999E-2"/>
    <n v="53"/>
    <n v="7799"/>
    <n v="689699.23600000003"/>
    <m/>
    <m/>
    <m/>
    <m/>
    <m/>
    <m/>
    <n v="274225001.95999998"/>
  </r>
  <r>
    <n v="3"/>
    <n v="19"/>
    <s v="FABIND9INRDZI"/>
    <x v="1"/>
    <s v="I"/>
    <s v="FI2627000065"/>
    <d v="2026-04-10T00:00:00"/>
    <s v="INR"/>
    <n v="774998.04"/>
    <d v="2026-05-20T00:00:00"/>
    <d v="2026-04-17T00:00:00"/>
    <d v="2026-06-09T00:00:00"/>
    <n v="779"/>
    <d v="2026-04-10T00:00:00"/>
    <m/>
    <m/>
    <s v="BIL - Tower GBT 40M 200 KMPH"/>
    <n v="697498.23600000003"/>
    <n v="7.6999999999999999E-2"/>
    <n v="53"/>
    <n v="7799"/>
    <n v="689699.23600000003"/>
    <m/>
    <m/>
    <m/>
    <m/>
    <m/>
    <m/>
    <n v="274225001.95999998"/>
  </r>
  <r>
    <n v="3"/>
    <n v="20"/>
    <s v="FABIND9INRDZI"/>
    <x v="1"/>
    <s v="I"/>
    <s v="FI2627000066"/>
    <d v="2026-04-10T00:00:00"/>
    <s v="INR"/>
    <n v="774998.04"/>
    <d v="2026-05-20T00:00:00"/>
    <d v="2026-04-17T00:00:00"/>
    <d v="2026-06-09T00:00:00"/>
    <n v="10025"/>
    <d v="2026-04-10T00:00:00"/>
    <m/>
    <m/>
    <s v="BIL - Tower GBT 40M 200 KMPH"/>
    <n v="697498.23600000003"/>
    <n v="7.6999999999999999E-2"/>
    <n v="53"/>
    <n v="7799"/>
    <n v="689699.23600000003"/>
    <m/>
    <m/>
    <m/>
    <m/>
    <m/>
    <m/>
    <n v="274225001.95999998"/>
  </r>
  <r>
    <n v="3"/>
    <n v="21"/>
    <s v="FABIND9INRDZI"/>
    <x v="1"/>
    <s v="I"/>
    <s v="FI2627000067"/>
    <d v="2026-04-10T00:00:00"/>
    <s v="INR"/>
    <n v="774998.04"/>
    <d v="2026-05-20T00:00:00"/>
    <d v="2026-04-17T00:00:00"/>
    <d v="2026-06-09T00:00:00"/>
    <n v="10026"/>
    <d v="2026-04-10T00:00:00"/>
    <m/>
    <m/>
    <s v="BIL - Tower GBT 40M 200 KMPH"/>
    <n v="697498.23600000003"/>
    <n v="7.6999999999999999E-2"/>
    <n v="53"/>
    <n v="7799"/>
    <n v="689699.23600000003"/>
    <m/>
    <m/>
    <m/>
    <m/>
    <m/>
    <m/>
    <n v="274225001.95999998"/>
  </r>
  <r>
    <n v="3"/>
    <n v="22"/>
    <s v="FABIND9INRDZI"/>
    <x v="1"/>
    <s v="I"/>
    <s v="FI2627000069"/>
    <d v="2026-04-12T00:00:00"/>
    <s v="INR"/>
    <n v="647363.34"/>
    <d v="2026-05-22T00:00:00"/>
    <d v="2026-04-17T00:00:00"/>
    <d v="2026-06-11T00:00:00"/>
    <n v="780"/>
    <d v="2026-04-12T00:00:00"/>
    <m/>
    <m/>
    <s v="TowerGBT-3 Leg Tubular VT30M 200 KMPH"/>
    <n v="582627.00599999994"/>
    <n v="7.6999999999999999E-2"/>
    <n v="55"/>
    <n v="6760"/>
    <n v="575867.00599999994"/>
    <m/>
    <m/>
    <m/>
    <m/>
    <m/>
    <m/>
    <n v="274352636.66000003"/>
  </r>
  <r>
    <n v="3"/>
    <n v="23"/>
    <s v="FABIND9INRDZI"/>
    <x v="1"/>
    <s v="I"/>
    <s v="FI2627000070"/>
    <d v="2026-04-12T00:00:00"/>
    <s v="INR"/>
    <n v="147186.12"/>
    <d v="2026-05-22T00:00:00"/>
    <d v="2026-04-17T00:00:00"/>
    <d v="2026-06-11T00:00:00"/>
    <n v="781"/>
    <d v="2026-04-12T00:00:00"/>
    <m/>
    <m/>
    <s v="Cast In part GBT-3L TBLR VT30M 200KMPH"/>
    <n v="132467.508"/>
    <n v="7.6999999999999999E-2"/>
    <n v="55"/>
    <n v="1537"/>
    <n v="130930.508"/>
    <m/>
    <m/>
    <m/>
    <m/>
    <m/>
    <m/>
    <n v="274852813.88"/>
  </r>
  <r>
    <n v="3"/>
    <n v="24"/>
    <s v="FABIND9INRDZI"/>
    <x v="1"/>
    <s v="I"/>
    <s v="FI2627000071"/>
    <d v="2026-04-12T00:00:00"/>
    <s v="INR"/>
    <n v="774998.04"/>
    <d v="2026-05-22T00:00:00"/>
    <d v="2026-04-17T00:00:00"/>
    <d v="2026-06-11T00:00:00"/>
    <n v="10030"/>
    <d v="2026-04-12T00:00:00"/>
    <m/>
    <m/>
    <s v="BIL - Tower GBT 40M 200 KMPH"/>
    <n v="697498.23600000003"/>
    <n v="7.6999999999999999E-2"/>
    <n v="55"/>
    <n v="8093"/>
    <n v="689405.23600000003"/>
    <m/>
    <m/>
    <m/>
    <m/>
    <m/>
    <m/>
    <n v="274225001.95999998"/>
  </r>
  <r>
    <n v="3"/>
    <n v="25"/>
    <s v="FABIND9INRDZI"/>
    <x v="1"/>
    <s v="I"/>
    <s v="FI2627000072"/>
    <d v="2026-04-12T00:00:00"/>
    <s v="INR"/>
    <n v="774998.04"/>
    <d v="2026-05-22T00:00:00"/>
    <d v="2026-04-17T00:00:00"/>
    <d v="2026-06-11T00:00:00"/>
    <n v="10031"/>
    <d v="2026-04-12T00:00:00"/>
    <m/>
    <m/>
    <s v="BIL - Tower GBT 40M 200 KMPH"/>
    <n v="697498.23600000003"/>
    <n v="7.6999999999999999E-2"/>
    <n v="55"/>
    <n v="8093"/>
    <n v="689405.23600000003"/>
    <m/>
    <m/>
    <m/>
    <m/>
    <m/>
    <m/>
    <n v="274225001.95999998"/>
  </r>
  <r>
    <n v="3"/>
    <n v="26"/>
    <s v="FABIND9INRDZI"/>
    <x v="1"/>
    <s v="I"/>
    <s v="FI2627000077"/>
    <d v="2026-04-13T00:00:00"/>
    <s v="INR"/>
    <n v="774998.04"/>
    <d v="2026-05-23T00:00:00"/>
    <d v="2026-04-17T00:00:00"/>
    <d v="2026-06-12T00:00:00"/>
    <n v="78501"/>
    <d v="2026-04-13T00:00:00"/>
    <m/>
    <m/>
    <s v="BIL - Tower GBT 40M 200 KMPH"/>
    <n v="697498.23600000003"/>
    <n v="7.6999999999999999E-2"/>
    <n v="56"/>
    <n v="8240"/>
    <n v="689258.23600000003"/>
    <m/>
    <m/>
    <m/>
    <m/>
    <m/>
    <m/>
    <n v="274225001.95999998"/>
  </r>
  <r>
    <n v="3"/>
    <n v="27"/>
    <s v="FABIND9INRDZI"/>
    <x v="1"/>
    <s v="I"/>
    <s v="FI2627000078"/>
    <d v="2026-04-13T00:00:00"/>
    <s v="INR"/>
    <n v="774998.04"/>
    <d v="2026-05-23T00:00:00"/>
    <d v="2026-04-17T00:00:00"/>
    <d v="2026-06-12T00:00:00"/>
    <n v="78502"/>
    <d v="2026-04-13T00:00:00"/>
    <m/>
    <m/>
    <s v="BIL - Tower GBT 40M 200 KMPH"/>
    <n v="697498.23600000003"/>
    <n v="7.6999999999999999E-2"/>
    <n v="56"/>
    <n v="8240"/>
    <n v="689258.23600000003"/>
    <m/>
    <m/>
    <m/>
    <m/>
    <m/>
    <m/>
    <n v="274225001.95999998"/>
  </r>
  <r>
    <n v="3"/>
    <n v="28"/>
    <s v="FABIND9INRDZI"/>
    <x v="1"/>
    <s v="I"/>
    <s v="FI2627000079"/>
    <d v="2026-04-13T00:00:00"/>
    <s v="INR"/>
    <n v="774998.04"/>
    <d v="2026-05-23T00:00:00"/>
    <d v="2026-04-17T00:00:00"/>
    <d v="2026-06-12T00:00:00"/>
    <n v="78503"/>
    <d v="2026-04-13T00:00:00"/>
    <m/>
    <m/>
    <s v="BIL - Tower GBT 40M 200 KMPH"/>
    <n v="697498.23600000003"/>
    <n v="7.6999999999999999E-2"/>
    <n v="56"/>
    <n v="8240"/>
    <n v="689258.23600000003"/>
    <m/>
    <m/>
    <m/>
    <m/>
    <m/>
    <m/>
    <n v="274225001.95999998"/>
  </r>
  <r>
    <n v="4"/>
    <n v="29"/>
    <s v="FABIND9INRDZI"/>
    <x v="1"/>
    <s v="I"/>
    <s v="FI2627000084"/>
    <d v="2026-04-15T00:00:00"/>
    <s v="INR"/>
    <n v="661895.04"/>
    <d v="2026-05-25T00:00:00"/>
    <d v="2026-04-20T00:00:00"/>
    <d v="2026-06-14T00:00:00"/>
    <n v="78510"/>
    <d v="2026-04-15T00:00:00"/>
    <m/>
    <m/>
    <s v="TowerGBT-3 Leg Tubular VT30M 200 KMPH"/>
    <n v="595705.53600000008"/>
    <n v="7.6999999999999999E-2"/>
    <n v="55"/>
    <n v="6912"/>
    <n v="588793.53600000008"/>
    <m/>
    <m/>
    <m/>
    <m/>
    <m/>
    <m/>
    <n v="274338104.95999998"/>
  </r>
  <r>
    <n v="4"/>
    <n v="30"/>
    <s v="FABIND9INRDZI"/>
    <x v="1"/>
    <s v="I"/>
    <s v="FI2627000085"/>
    <d v="2026-04-15T00:00:00"/>
    <s v="INR"/>
    <n v="661895.04"/>
    <d v="2026-05-25T00:00:00"/>
    <d v="2026-04-20T00:00:00"/>
    <d v="2026-06-14T00:00:00"/>
    <n v="78511"/>
    <d v="2026-04-15T00:00:00"/>
    <m/>
    <m/>
    <s v="TowerGBT-3 Leg Tubular VT30M 200 KMPH"/>
    <n v="595705.53600000008"/>
    <n v="7.6999999999999999E-2"/>
    <n v="55"/>
    <n v="6912"/>
    <n v="588793.53600000008"/>
    <m/>
    <m/>
    <m/>
    <m/>
    <m/>
    <m/>
    <n v="274338104.95999998"/>
  </r>
  <r>
    <n v="4"/>
    <n v="31"/>
    <s v="FABIND9INRDZI"/>
    <x v="1"/>
    <s v="I"/>
    <s v="FI2627000086"/>
    <d v="2026-04-15T00:00:00"/>
    <s v="INR"/>
    <n v="661895.04"/>
    <d v="2026-05-25T00:00:00"/>
    <d v="2026-04-20T00:00:00"/>
    <d v="2026-06-14T00:00:00"/>
    <n v="21123"/>
    <d v="2026-04-15T00:00:00"/>
    <m/>
    <m/>
    <s v="TowerGBT-3 Leg Tubular VT30M 200 KMPH"/>
    <n v="595705.53600000008"/>
    <n v="7.6999999999999999E-2"/>
    <n v="55"/>
    <n v="6912"/>
    <n v="588793.53600000008"/>
    <m/>
    <m/>
    <m/>
    <m/>
    <m/>
    <m/>
    <n v="274338104.95999998"/>
  </r>
  <r>
    <n v="4"/>
    <n v="32"/>
    <s v="FABIND9INRDZI"/>
    <x v="1"/>
    <s v="I"/>
    <s v="FI2627000087"/>
    <d v="2026-04-15T00:00:00"/>
    <s v="INR"/>
    <n v="661895.04"/>
    <d v="2026-05-25T00:00:00"/>
    <d v="2026-04-20T00:00:00"/>
    <d v="2026-06-14T00:00:00"/>
    <n v="78512"/>
    <d v="2026-04-15T00:00:00"/>
    <m/>
    <m/>
    <s v="TowerGBT-3 Leg Tubular VT30M 200 KMPH"/>
    <n v="595705.53600000008"/>
    <n v="7.6999999999999999E-2"/>
    <n v="55"/>
    <n v="6912"/>
    <n v="588793.53600000008"/>
    <m/>
    <m/>
    <m/>
    <m/>
    <m/>
    <m/>
    <n v="274338104.95999998"/>
  </r>
  <r>
    <n v="4"/>
    <n v="33"/>
    <s v="FABIND9INRDZI"/>
    <x v="1"/>
    <s v="I"/>
    <s v="FI2627000109"/>
    <d v="2026-04-19T00:00:00"/>
    <s v="INR"/>
    <n v="506008.78"/>
    <d v="2026-05-29T00:00:00"/>
    <d v="2026-04-20T00:00:00"/>
    <d v="2026-06-18T00:00:00"/>
    <n v="10038"/>
    <d v="2026-04-19T00:00:00"/>
    <m/>
    <m/>
    <s v="Tower- GBT- Elite 403 STR - 3L TBLR 40M"/>
    <n v="455407.90200000006"/>
    <n v="7.6999999999999999E-2"/>
    <n v="59"/>
    <n v="5668"/>
    <n v="449739.90200000006"/>
    <m/>
    <m/>
    <m/>
    <m/>
    <m/>
    <m/>
    <n v="274493991.22000003"/>
  </r>
  <r>
    <n v="4"/>
    <n v="34"/>
    <s v="FABIND9INRDZI"/>
    <x v="1"/>
    <s v="I"/>
    <s v="FI2627000110"/>
    <d v="2026-04-19T00:00:00"/>
    <s v="INR"/>
    <n v="506008.78"/>
    <d v="2026-05-29T00:00:00"/>
    <d v="2026-04-20T00:00:00"/>
    <d v="2026-06-18T00:00:00"/>
    <n v="10039"/>
    <d v="2026-04-19T00:00:00"/>
    <m/>
    <m/>
    <s v="Tower- GBT- Elite 403 STR - 3L TBLR 40M"/>
    <n v="455407.90200000006"/>
    <n v="7.6999999999999999E-2"/>
    <n v="59"/>
    <n v="5668"/>
    <n v="449739.90200000006"/>
    <m/>
    <m/>
    <m/>
    <m/>
    <m/>
    <m/>
    <n v="274493991.22000003"/>
  </r>
  <r>
    <n v="4"/>
    <n v="35"/>
    <s v="FABIND9INRDZI"/>
    <x v="1"/>
    <s v="I"/>
    <s v="FI2627000111"/>
    <d v="2026-04-19T00:00:00"/>
    <s v="INR"/>
    <n v="506008.78"/>
    <d v="2026-05-29T00:00:00"/>
    <d v="2026-04-20T00:00:00"/>
    <d v="2026-06-18T00:00:00"/>
    <n v="10040"/>
    <d v="2026-04-19T00:00:00"/>
    <m/>
    <m/>
    <s v="Tower- GBT- Elite 403 STR - 3L TBLR 40M"/>
    <n v="455407.90200000006"/>
    <n v="7.6999999999999999E-2"/>
    <n v="59"/>
    <n v="5668"/>
    <n v="449739.90200000006"/>
    <m/>
    <m/>
    <m/>
    <m/>
    <m/>
    <m/>
    <n v="274493991.22000003"/>
  </r>
  <r>
    <n v="4"/>
    <n v="36"/>
    <s v="FABIND9INRDZI"/>
    <x v="1"/>
    <s v="I"/>
    <s v="FI2627000112"/>
    <d v="2026-04-19T00:00:00"/>
    <s v="INR"/>
    <n v="506008.78"/>
    <d v="2026-05-29T00:00:00"/>
    <d v="2026-04-20T00:00:00"/>
    <d v="2026-06-18T00:00:00"/>
    <n v="10041"/>
    <d v="2026-04-19T00:00:00"/>
    <m/>
    <m/>
    <s v="Tower- GBT- Elite 403 STR - 3L TBLR 40M"/>
    <n v="455407.90200000006"/>
    <n v="7.6999999999999999E-2"/>
    <n v="59"/>
    <n v="5668"/>
    <n v="449739.90200000006"/>
    <m/>
    <m/>
    <m/>
    <m/>
    <m/>
    <m/>
    <n v="274493991.22000003"/>
  </r>
  <r>
    <n v="5"/>
    <n v="37"/>
    <s v="FABIND9INRDZI"/>
    <x v="1"/>
    <s v="I"/>
    <s v="FI2627000118"/>
    <d v="2026-04-20T00:00:00"/>
    <s v="INR"/>
    <n v="483325.64"/>
    <d v="2026-05-30T00:00:00"/>
    <d v="2026-04-23T00:00:00"/>
    <d v="2026-06-19T00:00:00"/>
    <n v="10043"/>
    <d v="2026-04-20T00:00:00"/>
    <m/>
    <m/>
    <s v="Tower- GBT- Elite 403 STR - 3L TBLR 40M"/>
    <n v="434993.076"/>
    <n v="7.6999999999999999E-2"/>
    <n v="57"/>
    <n v="5231"/>
    <n v="429762.076"/>
    <m/>
    <m/>
    <m/>
    <m/>
    <m/>
    <m/>
    <n v="274516674.36000001"/>
  </r>
  <r>
    <n v="5"/>
    <n v="38"/>
    <s v="FABIND9INRDZI"/>
    <x v="1"/>
    <s v="I"/>
    <s v="FI2627000119"/>
    <d v="2026-04-20T00:00:00"/>
    <s v="INR"/>
    <n v="483325.64"/>
    <d v="2026-05-30T00:00:00"/>
    <d v="2026-04-23T00:00:00"/>
    <d v="2026-06-19T00:00:00"/>
    <n v="10044"/>
    <d v="2026-04-20T00:00:00"/>
    <m/>
    <m/>
    <s v="Tower- GBT- Elite 403 STR - 3L TBLR 40M"/>
    <n v="434993.076"/>
    <n v="7.6999999999999999E-2"/>
    <n v="57"/>
    <n v="5231"/>
    <n v="429762.076"/>
    <m/>
    <m/>
    <m/>
    <m/>
    <m/>
    <m/>
    <n v="274516674.36000001"/>
  </r>
  <r>
    <n v="5"/>
    <n v="39"/>
    <s v="FABIND9INRDZI"/>
    <x v="1"/>
    <s v="I"/>
    <s v="FI2627000120"/>
    <d v="2026-04-20T00:00:00"/>
    <s v="INR"/>
    <n v="483325.64"/>
    <d v="2026-05-30T00:00:00"/>
    <d v="2026-04-23T00:00:00"/>
    <d v="2026-06-19T00:00:00"/>
    <n v="10045"/>
    <d v="2026-04-20T00:00:00"/>
    <m/>
    <m/>
    <s v="Tower- GBT- Elite 403 STR - 3L TBLR 40M"/>
    <n v="434993.076"/>
    <n v="7.6999999999999999E-2"/>
    <n v="57"/>
    <n v="5231"/>
    <n v="429762.076"/>
    <m/>
    <m/>
    <m/>
    <m/>
    <m/>
    <m/>
    <n v="274516674.36000001"/>
  </r>
  <r>
    <n v="5"/>
    <n v="40"/>
    <s v="FABIND9INRDZI"/>
    <x v="1"/>
    <s v="I"/>
    <s v="FI2627000121"/>
    <d v="2026-04-20T00:00:00"/>
    <s v="INR"/>
    <n v="483325.64"/>
    <d v="2026-05-30T00:00:00"/>
    <d v="2026-04-23T00:00:00"/>
    <d v="2026-06-19T00:00:00"/>
    <n v="10046"/>
    <d v="2026-04-20T00:00:00"/>
    <m/>
    <m/>
    <s v="Tower- GBT- Elite 403 STR - 3L TBLR 40M"/>
    <n v="434993.076"/>
    <n v="7.6999999999999999E-2"/>
    <n v="57"/>
    <n v="5231"/>
    <n v="429762.076"/>
    <m/>
    <m/>
    <m/>
    <m/>
    <m/>
    <m/>
    <n v="274516674.36000001"/>
  </r>
  <r>
    <n v="5"/>
    <n v="41"/>
    <s v="FABIND9INRDZI"/>
    <x v="1"/>
    <s v="I"/>
    <s v="FI2627000122"/>
    <d v="2026-04-20T00:00:00"/>
    <s v="INR"/>
    <n v="483325.64"/>
    <d v="2026-05-30T00:00:00"/>
    <d v="2026-04-23T00:00:00"/>
    <d v="2026-06-19T00:00:00"/>
    <n v="801"/>
    <d v="2026-04-20T00:00:00"/>
    <m/>
    <m/>
    <s v="Tower- GBT- Elite 403 STR - 3L TBLR 40M"/>
    <n v="434993.076"/>
    <n v="7.6999999999999999E-2"/>
    <n v="57"/>
    <n v="5231"/>
    <n v="429762.076"/>
    <m/>
    <m/>
    <m/>
    <m/>
    <m/>
    <m/>
    <n v="274516674.36000001"/>
  </r>
  <r>
    <n v="5"/>
    <n v="42"/>
    <s v="FABIND9INRDZI"/>
    <x v="1"/>
    <s v="I"/>
    <s v="FI2627000127"/>
    <d v="2026-04-20T00:00:00"/>
    <s v="INR"/>
    <n v="1006923.5"/>
    <d v="2026-05-30T00:00:00"/>
    <d v="2026-04-23T00:00:00"/>
    <d v="2026-06-19T00:00:00"/>
    <n v="78158"/>
    <d v="2026-04-20T00:00:00"/>
    <m/>
    <m/>
    <s v="CIP - GBT - Elite 403 STR - 3L 170KMPH"/>
    <n v="906231.15"/>
    <n v="7.6999999999999999E-2"/>
    <n v="57"/>
    <n v="10897"/>
    <n v="895334.15"/>
    <m/>
    <m/>
    <m/>
    <m/>
    <m/>
    <m/>
    <n v="273993076.5"/>
  </r>
  <r>
    <n v="5"/>
    <n v="43"/>
    <s v="FABIND9INRDZI"/>
    <x v="1"/>
    <s v="I"/>
    <s v="FI2627000128"/>
    <d v="2026-04-20T00:00:00"/>
    <s v="INR"/>
    <n v="671243"/>
    <d v="2026-05-30T00:00:00"/>
    <d v="2026-04-23T00:00:00"/>
    <d v="2026-06-19T00:00:00"/>
    <n v="10047"/>
    <d v="2026-04-20T00:00:00"/>
    <m/>
    <m/>
    <s v="12A - Tower GBT-3 Leg TBLR 40M 170 KMPH"/>
    <n v="604118.70000000007"/>
    <n v="7.6999999999999999E-2"/>
    <n v="57"/>
    <n v="7264"/>
    <n v="596854.70000000007"/>
    <m/>
    <m/>
    <m/>
    <m/>
    <m/>
    <m/>
    <n v="274328757"/>
  </r>
  <r>
    <n v="5"/>
    <n v="44"/>
    <s v="FABIND9INRDZI"/>
    <x v="1"/>
    <s v="I"/>
    <s v="FI2627000134"/>
    <d v="2026-04-21T00:00:00"/>
    <s v="INR"/>
    <n v="481668.92"/>
    <d v="2026-05-31T00:00:00"/>
    <d v="2026-04-23T00:00:00"/>
    <d v="2026-06-20T00:00:00"/>
    <n v="10049"/>
    <d v="2026-04-21T00:00:00"/>
    <m/>
    <m/>
    <s v="TOWER GBT 3Legged VM 30M 170KMPH"/>
    <n v="433502.02799999999"/>
    <n v="7.6999999999999999E-2"/>
    <n v="58"/>
    <n v="5304"/>
    <n v="428198.02799999999"/>
    <m/>
    <m/>
    <m/>
    <m/>
    <m/>
    <m/>
    <n v="274518331.07999998"/>
  </r>
  <r>
    <n v="5"/>
    <n v="45"/>
    <s v="FABIND9INRDZI"/>
    <x v="1"/>
    <s v="I"/>
    <s v="FI2627000135"/>
    <d v="2026-04-21T00:00:00"/>
    <s v="INR"/>
    <n v="506008.78"/>
    <d v="2026-05-31T00:00:00"/>
    <d v="2026-04-23T00:00:00"/>
    <d v="2026-06-20T00:00:00"/>
    <n v="10050"/>
    <d v="2026-04-21T00:00:00"/>
    <m/>
    <m/>
    <s v="Tower- GBT- Elite 403 STR - 3L TBLR 40M"/>
    <n v="455407.90200000006"/>
    <n v="7.6999999999999999E-2"/>
    <n v="58"/>
    <n v="5572"/>
    <n v="449835.90200000006"/>
    <m/>
    <m/>
    <m/>
    <m/>
    <m/>
    <m/>
    <n v="274493991.22000003"/>
  </r>
  <r>
    <n v="5"/>
    <n v="46"/>
    <s v="FABIND9INRDZI"/>
    <x v="1"/>
    <s v="I"/>
    <s v="FI2627000136"/>
    <d v="2026-04-21T00:00:00"/>
    <s v="INR"/>
    <n v="506008.78"/>
    <d v="2026-05-31T00:00:00"/>
    <d v="2026-04-23T00:00:00"/>
    <d v="2026-06-20T00:00:00"/>
    <n v="78519"/>
    <d v="2026-04-21T00:00:00"/>
    <m/>
    <m/>
    <s v="Tower- GBT- Elite 403 STR - 3L TBLR 40M"/>
    <n v="455407.90200000006"/>
    <n v="7.6999999999999999E-2"/>
    <n v="58"/>
    <n v="5572"/>
    <n v="449835.90200000006"/>
    <m/>
    <m/>
    <m/>
    <m/>
    <m/>
    <m/>
    <n v="274493991.22000003"/>
  </r>
  <r>
    <n v="5"/>
    <n v="47"/>
    <s v="FABIND9INRDZI"/>
    <x v="1"/>
    <s v="I"/>
    <s v="FI2627000137"/>
    <d v="2026-04-21T00:00:00"/>
    <s v="INR"/>
    <n v="506008.78"/>
    <d v="2026-05-31T00:00:00"/>
    <d v="2026-04-23T00:00:00"/>
    <d v="2026-06-20T00:00:00"/>
    <n v="78520"/>
    <d v="2026-04-21T00:00:00"/>
    <m/>
    <m/>
    <s v="Tower- GBT- Elite 403 STR - 3L TBLR 40M"/>
    <n v="455407.90200000006"/>
    <n v="7.6999999999999999E-2"/>
    <n v="58"/>
    <n v="5572"/>
    <n v="449835.90200000006"/>
    <m/>
    <m/>
    <m/>
    <m/>
    <m/>
    <m/>
    <n v="274493991.22000003"/>
  </r>
  <r>
    <n v="5"/>
    <n v="48"/>
    <s v="FABIND9INRDZI"/>
    <x v="1"/>
    <s v="I"/>
    <s v="FI2627000139"/>
    <d v="2026-04-21T00:00:00"/>
    <s v="INR"/>
    <n v="506008.78"/>
    <d v="2026-05-31T00:00:00"/>
    <d v="2026-04-23T00:00:00"/>
    <d v="2026-06-20T00:00:00"/>
    <n v="78521"/>
    <d v="2026-04-21T00:00:00"/>
    <m/>
    <m/>
    <s v="Tower- GBT- Elite 403 STR - 3L TBLR 40M"/>
    <n v="455407.90200000006"/>
    <n v="7.6999999999999999E-2"/>
    <n v="58"/>
    <n v="5572"/>
    <n v="449835.90200000006"/>
    <m/>
    <m/>
    <m/>
    <m/>
    <m/>
    <m/>
    <n v="274493991.22000003"/>
  </r>
  <r>
    <n v="5"/>
    <n v="49"/>
    <s v="FABIND9INRDZI"/>
    <x v="1"/>
    <s v="I"/>
    <s v="FI2627000140"/>
    <d v="2026-04-21T00:00:00"/>
    <s v="INR"/>
    <n v="506008.78"/>
    <d v="2026-05-31T00:00:00"/>
    <d v="2026-04-23T00:00:00"/>
    <d v="2026-06-20T00:00:00"/>
    <n v="10051"/>
    <d v="2026-04-21T00:00:00"/>
    <m/>
    <m/>
    <s v="Tower- GBT- Elite 403 STR - 3L TBLR 40M"/>
    <n v="455407.90200000006"/>
    <n v="7.6999999999999999E-2"/>
    <n v="58"/>
    <n v="5572"/>
    <n v="449835.90200000006"/>
    <m/>
    <m/>
    <m/>
    <m/>
    <m/>
    <m/>
    <n v="274493991.22000003"/>
  </r>
  <r>
    <n v="5"/>
    <n v="50"/>
    <s v="FABIND9INRDZI"/>
    <x v="1"/>
    <s v="I"/>
    <s v="FI2627000148"/>
    <d v="2026-04-21T00:00:00"/>
    <s v="INR"/>
    <n v="506008.78"/>
    <d v="2026-05-31T00:00:00"/>
    <d v="2026-04-23T00:00:00"/>
    <d v="2026-06-20T00:00:00"/>
    <n v="78522"/>
    <d v="2026-04-21T00:00:00"/>
    <m/>
    <m/>
    <s v="Tower- GBT- Elite 403 STR - 3L TBLR 40M"/>
    <n v="455407.90200000006"/>
    <n v="7.6999999999999999E-2"/>
    <n v="58"/>
    <n v="5572"/>
    <n v="449835.90200000006"/>
    <m/>
    <m/>
    <m/>
    <m/>
    <m/>
    <m/>
    <n v="274493991.22000003"/>
  </r>
  <r>
    <n v="6"/>
    <n v="51"/>
    <s v="FABIND9INRDZI"/>
    <x v="1"/>
    <s v="I"/>
    <s v="FI2627000151"/>
    <d v="2026-04-22T00:00:00"/>
    <s v="INR"/>
    <n v="873873.78"/>
    <d v="2026-06-01T00:00:00"/>
    <d v="2026-04-23T00:00:00"/>
    <d v="2026-06-21T00:00:00"/>
    <n v="25333"/>
    <d v="2026-04-22T00:00:00"/>
    <m/>
    <m/>
    <s v="SLIP JOINT MONOPOLE-30M (INDUS)"/>
    <n v="786486.402"/>
    <n v="7.6999999999999999E-2"/>
    <n v="59"/>
    <n v="9789"/>
    <n v="776697.402"/>
    <m/>
    <m/>
    <m/>
    <m/>
    <m/>
    <m/>
    <n v="274126126.22000003"/>
  </r>
  <r>
    <n v="6"/>
    <n v="52"/>
    <s v="FABIND9INRDZI"/>
    <x v="1"/>
    <s v="I"/>
    <s v="FI2627000152"/>
    <d v="2026-04-22T00:00:00"/>
    <s v="INR"/>
    <n v="483325.64"/>
    <d v="2026-06-01T00:00:00"/>
    <d v="2026-04-23T00:00:00"/>
    <d v="2026-06-21T00:00:00"/>
    <n v="10054"/>
    <d v="2026-04-22T00:00:00"/>
    <m/>
    <m/>
    <s v="Tower- GBT- Elite 403 STR - 3L TBLR 40M"/>
    <n v="434993.076"/>
    <n v="7.6999999999999999E-2"/>
    <n v="59"/>
    <n v="5414"/>
    <n v="429579.076"/>
    <m/>
    <m/>
    <m/>
    <m/>
    <m/>
    <m/>
    <n v="274516674.36000001"/>
  </r>
  <r>
    <n v="6"/>
    <n v="53"/>
    <s v="FABIND9INRDZI"/>
    <x v="1"/>
    <s v="I"/>
    <s v="FI2627000153"/>
    <d v="2026-04-22T00:00:00"/>
    <s v="INR"/>
    <n v="483325.64"/>
    <d v="2026-06-01T00:00:00"/>
    <d v="2026-04-23T00:00:00"/>
    <d v="2026-06-21T00:00:00"/>
    <n v="10053"/>
    <d v="2026-04-22T00:00:00"/>
    <m/>
    <m/>
    <s v="Tower- GBT- Elite 403 STR - 3L TBLR 40M"/>
    <n v="434993.076"/>
    <n v="7.6999999999999999E-2"/>
    <n v="59"/>
    <n v="5414"/>
    <n v="429579.076"/>
    <m/>
    <m/>
    <m/>
    <m/>
    <m/>
    <m/>
    <n v="274516674.36000001"/>
  </r>
  <r>
    <n v="6"/>
    <n v="54"/>
    <s v="FABIND9INRDZI"/>
    <x v="1"/>
    <s v="I"/>
    <s v="FI2627000156"/>
    <d v="2026-04-22T00:00:00"/>
    <s v="INR"/>
    <n v="483325.64"/>
    <d v="2026-06-01T00:00:00"/>
    <d v="2026-04-23T00:00:00"/>
    <d v="2026-06-21T00:00:00"/>
    <n v="21129"/>
    <d v="2026-04-22T00:00:00"/>
    <m/>
    <m/>
    <s v="Tower- GBT- Elite 403 STR - 3L TBLR 40M"/>
    <n v="434993.076"/>
    <n v="7.6999999999999999E-2"/>
    <n v="59"/>
    <n v="5414"/>
    <n v="429579.076"/>
    <m/>
    <m/>
    <m/>
    <m/>
    <m/>
    <m/>
    <n v="274516674.36000001"/>
  </r>
  <r>
    <n v="7"/>
    <n v="55"/>
    <s v="FABIND9INRDZI"/>
    <x v="1"/>
    <s v="I"/>
    <s v="FI2627000168"/>
    <d v="2026-04-23T00:00:00"/>
    <s v="INR"/>
    <n v="455946.1"/>
    <d v="2026-06-02T00:00:00"/>
    <d v="2026-04-23T00:00:00"/>
    <d v="2026-06-22T00:00:00"/>
    <s v="11527"/>
    <d v="2026-04-23T00:00:00"/>
    <m/>
    <m/>
    <s v="Tower- GBT- Elite-402 - 3L TBLR 40M 140"/>
    <n v="410351.49"/>
    <n v="7.6999999999999999E-2"/>
    <n v="60"/>
    <n v="5194"/>
    <n v="405157.49"/>
    <m/>
    <m/>
    <m/>
    <m/>
    <m/>
    <m/>
    <n v="274544053.89999998"/>
  </r>
  <r>
    <n v="7"/>
    <n v="56"/>
    <s v="FABIND9INRDZI"/>
    <x v="1"/>
    <s v="I"/>
    <s v="FI2627000169"/>
    <d v="2026-04-23T00:00:00"/>
    <s v="INR"/>
    <n v="483325.64"/>
    <d v="2026-06-02T00:00:00"/>
    <d v="2026-04-23T00:00:00"/>
    <d v="2026-06-22T00:00:00"/>
    <s v="11528"/>
    <d v="2026-04-23T00:00:00"/>
    <m/>
    <m/>
    <s v="Tower- GBT- Elite 403 STR - 3L TBLR 40M"/>
    <n v="434993.076"/>
    <n v="7.6999999999999999E-2"/>
    <n v="60"/>
    <n v="5506"/>
    <n v="429487.076"/>
    <m/>
    <m/>
    <m/>
    <m/>
    <m/>
    <m/>
    <n v="274516674.36000001"/>
  </r>
  <r>
    <n v="8"/>
    <n v="57"/>
    <s v="FABIND9INRDZI"/>
    <x v="1"/>
    <s v="I"/>
    <s v="FI2627000176"/>
    <d v="2026-04-24T00:00:00"/>
    <s v="INR"/>
    <n v="684578.18"/>
    <d v="2026-06-03T00:00:00"/>
    <d v="2026-04-24T00:00:00"/>
    <d v="2026-06-23T00:00:00"/>
    <s v="10061"/>
    <d v="2026-04-24T00:00:00"/>
    <m/>
    <m/>
    <s v="TowerGBT-3 Leg Tubular VT30M 200 KMPH"/>
    <n v="616120.36200000008"/>
    <n v="7.6999999999999999E-2"/>
    <n v="60"/>
    <n v="7799"/>
    <n v="608321.36200000008"/>
    <m/>
    <m/>
    <m/>
    <m/>
    <m/>
    <m/>
    <n v="274315421.81999999"/>
  </r>
  <r>
    <n v="8"/>
    <n v="58"/>
    <s v="FABIND9INRDZI"/>
    <x v="1"/>
    <s v="I"/>
    <s v="FI2627000177"/>
    <d v="2026-04-24T00:00:00"/>
    <s v="INR"/>
    <n v="75263.94"/>
    <d v="2026-06-03T00:00:00"/>
    <d v="2026-04-24T00:00:00"/>
    <d v="2026-06-23T00:00:00"/>
    <s v="10062"/>
    <d v="2026-04-24T00:00:00"/>
    <m/>
    <m/>
    <s v="Cast In part GBT-3L TBLR VT30M 200KMPH"/>
    <n v="67737.546000000002"/>
    <n v="7.6999999999999999E-2"/>
    <n v="60"/>
    <n v="857"/>
    <n v="66880.546000000002"/>
    <m/>
    <m/>
    <m/>
    <m/>
    <m/>
    <m/>
    <n v="274924736.06"/>
  </r>
  <r>
    <n v="8"/>
    <n v="59"/>
    <s v="FABIND9INRDZI"/>
    <x v="1"/>
    <s v="I"/>
    <s v="FI2627000178"/>
    <d v="2026-04-24T00:00:00"/>
    <s v="INR"/>
    <n v="684578.18"/>
    <d v="2026-06-03T00:00:00"/>
    <d v="2026-04-24T00:00:00"/>
    <d v="2026-06-23T00:00:00"/>
    <s v="10063"/>
    <d v="2026-04-24T00:00:00"/>
    <m/>
    <m/>
    <s v="TowerGBT-3 Leg Tubular VT30M 200 KMPH"/>
    <n v="616120.36200000008"/>
    <n v="7.6999999999999999E-2"/>
    <n v="60"/>
    <n v="7799"/>
    <n v="608321.36200000008"/>
    <m/>
    <m/>
    <m/>
    <m/>
    <m/>
    <m/>
    <n v="274315421.81999999"/>
  </r>
  <r>
    <n v="8"/>
    <n v="60"/>
    <s v="FABIND9INRDZI"/>
    <x v="1"/>
    <s v="I"/>
    <s v="FI2627000179"/>
    <d v="2026-04-24T00:00:00"/>
    <s v="INR"/>
    <n v="75263.94"/>
    <d v="2026-06-03T00:00:00"/>
    <d v="2026-04-24T00:00:00"/>
    <d v="2026-06-23T00:00:00"/>
    <s v="10064"/>
    <d v="2026-04-24T00:00:00"/>
    <m/>
    <m/>
    <s v="Cast In part GBT-3L TBLR VT30M 200KMPH"/>
    <n v="67737.546000000002"/>
    <n v="7.6999999999999999E-2"/>
    <n v="60"/>
    <n v="857"/>
    <n v="66880.546000000002"/>
    <m/>
    <m/>
    <m/>
    <m/>
    <m/>
    <m/>
    <n v="274924736.06"/>
  </r>
  <r>
    <n v="8"/>
    <n v="61"/>
    <s v="FABIND9INRDZI"/>
    <x v="1"/>
    <s v="I"/>
    <s v="FI2627000182"/>
    <d v="2026-04-24T00:00:00"/>
    <s v="INR"/>
    <n v="574467.66"/>
    <d v="2026-06-03T00:00:00"/>
    <d v="2026-04-24T00:00:00"/>
    <d v="2026-06-23T00:00:00"/>
    <s v="806"/>
    <d v="2026-04-24T00:00:00"/>
    <m/>
    <m/>
    <s v="NBT 40Mtr Tower"/>
    <n v="517020.89400000003"/>
    <n v="7.6999999999999999E-2"/>
    <n v="60"/>
    <n v="6544"/>
    <n v="510476.89400000003"/>
    <m/>
    <m/>
    <m/>
    <m/>
    <m/>
    <m/>
    <n v="274425532.33999997"/>
  </r>
  <r>
    <n v="8"/>
    <n v="62"/>
    <s v="FABIND9INRDZI"/>
    <x v="1"/>
    <s v="I"/>
    <s v="FI2627000183"/>
    <d v="2026-04-24T00:00:00"/>
    <s v="INR"/>
    <n v="574467.66"/>
    <d v="2026-06-03T00:00:00"/>
    <d v="2026-04-24T00:00:00"/>
    <d v="2026-06-23T00:00:00"/>
    <s v="805"/>
    <d v="2026-04-24T00:00:00"/>
    <m/>
    <m/>
    <s v="NBT 40Mtr Tower"/>
    <n v="517020.89400000003"/>
    <n v="7.6999999999999999E-2"/>
    <n v="60"/>
    <n v="6544"/>
    <n v="510476.89400000003"/>
    <m/>
    <m/>
    <m/>
    <m/>
    <m/>
    <m/>
    <n v="274425532.33999997"/>
  </r>
  <r>
    <n v="8"/>
    <n v="63"/>
    <s v="FABIND9INRDZI"/>
    <x v="1"/>
    <s v="I"/>
    <s v="FI2627000184"/>
    <d v="2026-04-24T00:00:00"/>
    <s v="INR"/>
    <n v="574467.66"/>
    <d v="2026-06-03T00:00:00"/>
    <d v="2026-04-24T00:00:00"/>
    <d v="2026-06-23T00:00:00"/>
    <s v="807"/>
    <d v="2026-04-24T00:00:00"/>
    <m/>
    <m/>
    <s v="NBT 40Mtr Tower"/>
    <n v="517020.89400000003"/>
    <n v="7.6999999999999999E-2"/>
    <n v="60"/>
    <n v="6544"/>
    <n v="510476.89400000003"/>
    <m/>
    <m/>
    <m/>
    <m/>
    <m/>
    <m/>
    <n v="274425532.33999997"/>
  </r>
  <r>
    <n v="8"/>
    <n v="64"/>
    <s v="FABIND9INRDZI"/>
    <x v="1"/>
    <s v="I"/>
    <s v="FI2627000185"/>
    <d v="2026-04-24T00:00:00"/>
    <s v="INR"/>
    <n v="574467.66"/>
    <d v="2026-06-03T00:00:00"/>
    <d v="2026-04-24T00:00:00"/>
    <d v="2026-06-23T00:00:00"/>
    <s v="10066"/>
    <d v="2026-04-24T00:00:00"/>
    <m/>
    <m/>
    <s v="NBT 40Mtr Tower"/>
    <n v="517020.89400000003"/>
    <n v="7.6999999999999999E-2"/>
    <n v="60"/>
    <n v="6544"/>
    <n v="510476.89400000003"/>
    <m/>
    <m/>
    <m/>
    <m/>
    <m/>
    <m/>
    <n v="274425532.33999997"/>
  </r>
  <r>
    <n v="8"/>
    <n v="65"/>
    <s v="FABIND9INRDZI"/>
    <x v="1"/>
    <s v="I"/>
    <s v="FI2627000186"/>
    <d v="2026-04-24T00:00:00"/>
    <s v="INR"/>
    <n v="574467.66"/>
    <d v="2026-06-03T00:00:00"/>
    <d v="2026-04-24T00:00:00"/>
    <d v="2026-06-23T00:00:00"/>
    <s v="10067"/>
    <d v="2026-04-24T00:00:00"/>
    <m/>
    <m/>
    <s v="NBT 40Mtr Tower"/>
    <n v="517020.89400000003"/>
    <n v="7.6999999999999999E-2"/>
    <n v="60"/>
    <n v="6544"/>
    <n v="510476.89400000003"/>
    <m/>
    <m/>
    <m/>
    <m/>
    <m/>
    <m/>
    <n v="274425532.33999997"/>
  </r>
  <r>
    <n v="8"/>
    <n v="66"/>
    <s v="FABIND9INRDZI"/>
    <x v="1"/>
    <s v="I"/>
    <s v="FI2627000188"/>
    <d v="2026-04-24T00:00:00"/>
    <s v="INR"/>
    <n v="481668.92"/>
    <d v="2026-06-03T00:00:00"/>
    <d v="2026-04-24T00:00:00"/>
    <d v="2026-06-23T00:00:00"/>
    <s v="11529"/>
    <d v="2026-04-24T00:00:00"/>
    <m/>
    <m/>
    <s v="TOWER GBT 3Legged VM 30M 170KMPH"/>
    <n v="433502.02799999999"/>
    <n v="7.6999999999999999E-2"/>
    <n v="60"/>
    <n v="5487"/>
    <n v="428015.02799999999"/>
    <m/>
    <m/>
    <m/>
    <m/>
    <m/>
    <m/>
    <n v="274518331.07999998"/>
  </r>
  <r>
    <n v="9"/>
    <n v="67"/>
    <s v="FABIND9INRDZI"/>
    <x v="1"/>
    <s v="I"/>
    <s v="FI2627000196"/>
    <d v="2026-04-26T00:00:00"/>
    <s v="INR"/>
    <n v="574467.66"/>
    <d v="2026-06-05T00:00:00"/>
    <d v="2026-04-27T00:00:00"/>
    <d v="2026-06-25T00:00:00"/>
    <s v="78526"/>
    <d v="2026-04-26T00:00:00"/>
    <m/>
    <m/>
    <s v="NBT 40Mtr Tower"/>
    <n v="517020.89400000003"/>
    <n v="7.6999999999999999E-2"/>
    <n v="59"/>
    <n v="6435"/>
    <n v="510585.89400000003"/>
    <m/>
    <m/>
    <m/>
    <m/>
    <m/>
    <m/>
    <n v="274425532.33999997"/>
  </r>
  <r>
    <n v="9"/>
    <n v="68"/>
    <s v="FABIND9INRDZI"/>
    <x v="1"/>
    <s v="I"/>
    <s v="FI2627000197"/>
    <d v="2026-04-26T00:00:00"/>
    <s v="INR"/>
    <n v="574467.66"/>
    <d v="2026-06-05T00:00:00"/>
    <d v="2026-04-27T00:00:00"/>
    <d v="2026-06-25T00:00:00"/>
    <s v="10070"/>
    <d v="2026-04-26T00:00:00"/>
    <m/>
    <m/>
    <s v="NBT 40Mtr Tower"/>
    <n v="517020.89400000003"/>
    <n v="7.6999999999999999E-2"/>
    <n v="59"/>
    <n v="6435"/>
    <n v="510585.89400000003"/>
    <m/>
    <m/>
    <m/>
    <m/>
    <m/>
    <m/>
    <n v="274425532.33999997"/>
  </r>
  <r>
    <n v="9"/>
    <n v="69"/>
    <s v="FABIND9INRDZI"/>
    <x v="1"/>
    <s v="I"/>
    <s v="FI2627000198"/>
    <d v="2026-04-26T00:00:00"/>
    <s v="INR"/>
    <n v="574467.66"/>
    <d v="2026-06-05T00:00:00"/>
    <d v="2026-04-27T00:00:00"/>
    <d v="2026-06-25T00:00:00"/>
    <s v="810"/>
    <d v="2026-04-26T00:00:00"/>
    <m/>
    <m/>
    <s v="NBT 40Mtr Tower"/>
    <n v="517020.89400000003"/>
    <n v="7.6999999999999999E-2"/>
    <n v="59"/>
    <n v="6435"/>
    <n v="510585.89400000003"/>
    <m/>
    <m/>
    <m/>
    <m/>
    <m/>
    <m/>
    <n v="274425532.33999997"/>
  </r>
  <r>
    <n v="9"/>
    <n v="70"/>
    <s v="FABIND9INRDZI"/>
    <x v="1"/>
    <s v="I"/>
    <s v="FI2627000199"/>
    <d v="2026-04-26T00:00:00"/>
    <s v="INR"/>
    <n v="574467.66"/>
    <d v="2026-06-05T00:00:00"/>
    <d v="2026-04-27T00:00:00"/>
    <d v="2026-06-25T00:00:00"/>
    <s v="11530"/>
    <d v="2026-04-26T00:00:00"/>
    <m/>
    <m/>
    <s v="NBT 40Mtr Tower"/>
    <n v="517020.89400000003"/>
    <n v="7.6999999999999999E-2"/>
    <n v="59"/>
    <n v="6435"/>
    <n v="510585.89400000003"/>
    <m/>
    <m/>
    <m/>
    <m/>
    <m/>
    <m/>
    <n v="274425532.33999997"/>
  </r>
  <r>
    <n v="0"/>
    <n v="71"/>
    <s v="FABIND9INRDZI"/>
    <x v="2"/>
    <s v="I"/>
    <s v="FI2526009378"/>
    <d v="2026-03-12T00:00:00"/>
    <s v="INR"/>
    <n v="764307.41"/>
    <d v="2026-04-25T00:00:00"/>
    <d v="2026-04-23T00:00:00"/>
    <d v="2026-05-15T00:00:00"/>
    <m/>
    <d v="2026-03-12T00:00:00"/>
    <m/>
    <m/>
    <m/>
    <n v="687876.66899999999"/>
    <n v="7.6999999999999999E-2"/>
    <n v="22"/>
    <n v="3193"/>
    <n v="684683.66899999999"/>
    <m/>
    <m/>
    <m/>
    <m/>
    <m/>
    <m/>
    <n v="219235692.59"/>
  </r>
  <r>
    <n v="1"/>
    <n v="72"/>
    <s v="FABIND9INRDZI"/>
    <x v="2"/>
    <s v="I"/>
    <s v="FI2627000094"/>
    <d v="2026-04-16T00:00:00"/>
    <s v="INR"/>
    <n v="822460"/>
    <d v="2026-05-30T00:00:00"/>
    <d v="2026-04-20T00:00:00"/>
    <d v="2026-06-19T00:00:00"/>
    <n v="2000146043"/>
    <d v="2026-04-16T00:00:00"/>
    <m/>
    <m/>
    <s v="CIP for 12/18 Panel Structure_New Design"/>
    <n v="740214"/>
    <n v="7.6999999999999999E-2"/>
    <n v="60"/>
    <n v="9369"/>
    <n v="730845"/>
    <m/>
    <m/>
    <m/>
    <m/>
    <m/>
    <m/>
    <n v="219177540"/>
  </r>
  <r>
    <n v="1"/>
    <n v="73"/>
    <s v="FABIND9INRDZI"/>
    <x v="2"/>
    <s v="I"/>
    <s v="FI2627000107"/>
    <d v="2026-04-19T00:00:00"/>
    <s v="INR"/>
    <n v="822460"/>
    <d v="2026-06-02T00:00:00"/>
    <d v="2026-04-20T00:00:00"/>
    <d v="2026-06-22T00:00:00"/>
    <n v="2000146110"/>
    <d v="2026-04-19T00:00:00"/>
    <m/>
    <m/>
    <s v="CIP for 12/18 Panel Structure_New Design"/>
    <n v="740214"/>
    <n v="7.6999999999999999E-2"/>
    <n v="63"/>
    <n v="9838"/>
    <n v="730376"/>
    <m/>
    <m/>
    <m/>
    <m/>
    <m/>
    <m/>
    <n v="219177540"/>
  </r>
  <r>
    <n v="2"/>
    <n v="74"/>
    <s v="FABIND9INRDZI"/>
    <x v="2"/>
    <s v="I"/>
    <s v="FI2627000123"/>
    <d v="2026-04-20T00:00:00"/>
    <s v="INR"/>
    <n v="766484.34"/>
    <d v="2026-06-03T00:00:00"/>
    <d v="2026-04-23T00:00:00"/>
    <d v="2026-06-23T00:00:00"/>
    <n v="2000146126"/>
    <d v="2026-04-20T00:00:00"/>
    <m/>
    <m/>
    <s v="TOWER12A TUBULR3 LEG W PLT &amp; FNCE-FAB"/>
    <n v="689835.90599999996"/>
    <n v="7.6999999999999999E-2"/>
    <n v="61"/>
    <n v="8877"/>
    <n v="680958.90599999996"/>
    <m/>
    <m/>
    <m/>
    <m/>
    <m/>
    <m/>
    <n v="219233515.66"/>
  </r>
  <r>
    <n v="2"/>
    <n v="75"/>
    <s v="FABIND9INRDZI"/>
    <x v="2"/>
    <s v="I"/>
    <s v="FI2627000124"/>
    <d v="2026-04-20T00:00:00"/>
    <s v="INR"/>
    <n v="766484.34"/>
    <d v="2026-06-03T00:00:00"/>
    <d v="2026-04-23T00:00:00"/>
    <d v="2026-06-23T00:00:00"/>
    <n v="2000146129"/>
    <d v="2026-04-20T00:00:00"/>
    <m/>
    <m/>
    <s v="TOWER12A TUBULR3 LEG W PLT &amp; FNCE-FAB"/>
    <n v="689835.90599999996"/>
    <n v="7.6999999999999999E-2"/>
    <n v="61"/>
    <n v="8877"/>
    <n v="680958.90599999996"/>
    <m/>
    <m/>
    <m/>
    <m/>
    <m/>
    <m/>
    <n v="219233515.66"/>
  </r>
  <r>
    <n v="2"/>
    <n v="76"/>
    <s v="FABIND9INRDZI"/>
    <x v="2"/>
    <s v="I"/>
    <s v="FI2627000125"/>
    <d v="2026-04-20T00:00:00"/>
    <s v="INR"/>
    <n v="766484.34"/>
    <d v="2026-06-03T00:00:00"/>
    <d v="2026-04-23T00:00:00"/>
    <d v="2026-06-23T00:00:00"/>
    <n v="2000146130"/>
    <d v="2026-04-20T00:00:00"/>
    <m/>
    <m/>
    <s v="TOWER12A TUBULR3 LEG W PLT &amp; FNCE-FAB"/>
    <n v="689835.90599999996"/>
    <n v="7.6999999999999999E-2"/>
    <n v="61"/>
    <n v="8877"/>
    <n v="680958.90599999996"/>
    <m/>
    <m/>
    <m/>
    <m/>
    <m/>
    <m/>
    <n v="219233515.66"/>
  </r>
  <r>
    <n v="2"/>
    <n v="77"/>
    <s v="FABIND9INRDZI"/>
    <x v="2"/>
    <s v="I"/>
    <s v="FI2627000126"/>
    <d v="2026-04-20T00:00:00"/>
    <s v="INR"/>
    <n v="766484.34"/>
    <d v="2026-06-03T00:00:00"/>
    <d v="2026-04-23T00:00:00"/>
    <d v="2026-06-23T00:00:00"/>
    <n v="2000146128"/>
    <d v="2026-04-20T00:00:00"/>
    <m/>
    <m/>
    <s v="TOWER12A TUBULR3 LEG W PLT &amp; FNCE-FAB"/>
    <n v="689835.90599999996"/>
    <n v="7.6999999999999999E-2"/>
    <n v="61"/>
    <n v="8877"/>
    <n v="680958.90599999996"/>
    <m/>
    <m/>
    <m/>
    <m/>
    <m/>
    <m/>
    <n v="219233515.66"/>
  </r>
  <r>
    <n v="2"/>
    <n v="78"/>
    <s v="FABIND9INRDZI"/>
    <x v="2"/>
    <s v="I"/>
    <s v="FI2627000143"/>
    <d v="2026-04-21T00:00:00"/>
    <s v="INR"/>
    <n v="822460"/>
    <d v="2026-06-04T00:00:00"/>
    <d v="2026-04-23T00:00:00"/>
    <d v="2026-06-24T00:00:00"/>
    <n v="2000146147"/>
    <d v="2026-04-21T00:00:00"/>
    <m/>
    <m/>
    <s v="CIP for 12/18 Panel Structure_New Design"/>
    <n v="740214"/>
    <n v="7.6999999999999999E-2"/>
    <n v="62"/>
    <n v="9682"/>
    <n v="730532"/>
    <m/>
    <m/>
    <m/>
    <m/>
    <m/>
    <m/>
    <n v="219177540"/>
  </r>
  <r>
    <n v="2"/>
    <n v="79"/>
    <s v="FABIND9INRDZI"/>
    <x v="2"/>
    <s v="I"/>
    <s v="FI2627000146"/>
    <d v="2026-04-21T00:00:00"/>
    <s v="INR"/>
    <n v="822460"/>
    <d v="2026-06-04T00:00:00"/>
    <d v="2026-04-23T00:00:00"/>
    <d v="2026-06-24T00:00:00"/>
    <n v="2000146148"/>
    <d v="2026-04-21T00:00:00"/>
    <m/>
    <m/>
    <s v="CIP for 12/18 Panel Structure_New Design"/>
    <n v="740214"/>
    <n v="7.6999999999999999E-2"/>
    <n v="62"/>
    <n v="9682"/>
    <n v="730532"/>
    <m/>
    <m/>
    <m/>
    <m/>
    <m/>
    <m/>
    <n v="219177540"/>
  </r>
  <r>
    <n v="3"/>
    <n v="80"/>
    <s v="FABIND9INRDZI"/>
    <x v="2"/>
    <s v="I"/>
    <s v="FI2627000154"/>
    <d v="2026-04-22T00:00:00"/>
    <s v="INR"/>
    <n v="1069198"/>
    <d v="2026-06-05T00:00:00"/>
    <d v="2026-04-23T00:00:00"/>
    <d v="2026-06-25T00:00:00"/>
    <n v="2000146151"/>
    <d v="2026-04-22T00:00:00"/>
    <m/>
    <m/>
    <s v="TOWER12A TUBULR3 LEG W PLT &amp; FNCE-FAB"/>
    <n v="962278.20000000007"/>
    <n v="7.6999999999999999E-2"/>
    <n v="63"/>
    <n v="12789"/>
    <n v="949489.20000000007"/>
    <m/>
    <m/>
    <m/>
    <m/>
    <m/>
    <m/>
    <n v="218930802"/>
  </r>
  <r>
    <n v="4"/>
    <n v="81"/>
    <s v="FABIND9INRDZI"/>
    <x v="2"/>
    <s v="I"/>
    <s v="FI2627000164"/>
    <d v="2026-04-23T00:00:00"/>
    <s v="INR"/>
    <n v="916860"/>
    <d v="2026-06-06T00:00:00"/>
    <d v="2026-04-23T00:00:00"/>
    <d v="2026-06-26T00:00:00"/>
    <s v="2000146179"/>
    <d v="2026-04-23T00:00:00"/>
    <m/>
    <m/>
    <s v="GBM30MTRIBANDLOADING50M/S-FAB"/>
    <n v="825174"/>
    <n v="7.6999999999999999E-2"/>
    <n v="64"/>
    <n v="11141"/>
    <n v="814033"/>
    <m/>
    <m/>
    <m/>
    <m/>
    <m/>
    <m/>
    <n v="219083140"/>
  </r>
  <r>
    <n v="4"/>
    <n v="82"/>
    <s v="FABIND9INRDZI"/>
    <x v="2"/>
    <s v="I"/>
    <s v="FI2627000165"/>
    <d v="2026-04-23T00:00:00"/>
    <s v="INR"/>
    <n v="848001.1"/>
    <d v="2026-06-06T00:00:00"/>
    <d v="2026-04-23T00:00:00"/>
    <d v="2026-06-26T00:00:00"/>
    <s v="2000146180"/>
    <d v="2026-04-23T00:00:00"/>
    <m/>
    <m/>
    <s v="TUBULAR POLE 23M HIGH WS-50M/S"/>
    <n v="763200.99"/>
    <n v="7.6999999999999999E-2"/>
    <n v="64"/>
    <n v="10304"/>
    <n v="752896.99"/>
    <m/>
    <m/>
    <m/>
    <m/>
    <m/>
    <m/>
    <n v="219151998.90000001"/>
  </r>
  <r>
    <n v="4"/>
    <n v="83"/>
    <s v="FABIND9INRDZI"/>
    <x v="2"/>
    <s v="I"/>
    <s v="FI2627000170"/>
    <d v="2026-04-23T00:00:00"/>
    <s v="INR"/>
    <n v="766484.34"/>
    <d v="2026-06-06T00:00:00"/>
    <d v="2026-04-23T00:00:00"/>
    <d v="2026-06-26T00:00:00"/>
    <s v="2000146185"/>
    <d v="2026-04-23T00:00:00"/>
    <m/>
    <m/>
    <s v="TOWER12A TUBULR3 LEG W PLT &amp; FNCE-FAB"/>
    <n v="689835.90599999996"/>
    <n v="7.6999999999999999E-2"/>
    <n v="64"/>
    <n v="9314"/>
    <n v="680521.90599999996"/>
    <m/>
    <m/>
    <m/>
    <m/>
    <m/>
    <m/>
    <n v="219233515.66"/>
  </r>
  <r>
    <n v="4"/>
    <n v="84"/>
    <s v="FABIND9INRDZI"/>
    <x v="2"/>
    <s v="I"/>
    <s v="FI2627000171"/>
    <d v="2026-04-23T00:00:00"/>
    <s v="INR"/>
    <n v="766484.34"/>
    <d v="2026-06-06T00:00:00"/>
    <d v="2026-04-23T00:00:00"/>
    <d v="2026-06-26T00:00:00"/>
    <s v="2000146189"/>
    <d v="2026-04-23T00:00:00"/>
    <m/>
    <m/>
    <s v="TOWER12A TUBULR3 LEG W PLT &amp; FNCE-FAB"/>
    <n v="689835.90599999996"/>
    <n v="7.6999999999999999E-2"/>
    <n v="64"/>
    <n v="9314"/>
    <n v="680521.90599999996"/>
    <m/>
    <m/>
    <m/>
    <m/>
    <m/>
    <m/>
    <n v="219233515.66"/>
  </r>
  <r>
    <n v="4"/>
    <n v="85"/>
    <s v="FABIND9INRDZI"/>
    <x v="2"/>
    <s v="I"/>
    <s v="FI2627000175"/>
    <d v="2026-04-23T00:00:00"/>
    <s v="INR"/>
    <n v="766484.34"/>
    <d v="2026-06-06T00:00:00"/>
    <d v="2026-04-23T00:00:00"/>
    <d v="2026-06-26T00:00:00"/>
    <s v="2000146186"/>
    <d v="2026-04-23T00:00:00"/>
    <m/>
    <m/>
    <s v="TOWER12A TUBULR3 LEG W PLT &amp; FNCE-FAB"/>
    <n v="689835.90599999996"/>
    <n v="7.6999999999999999E-2"/>
    <n v="64"/>
    <n v="9314"/>
    <n v="680521.90599999996"/>
    <m/>
    <m/>
    <m/>
    <m/>
    <m/>
    <m/>
    <n v="219233515.66"/>
  </r>
  <r>
    <n v="5"/>
    <n v="86"/>
    <s v="FABIND9INRDZI"/>
    <x v="2"/>
    <s v="I"/>
    <s v="FI2627000181"/>
    <d v="2026-04-24T00:00:00"/>
    <s v="INR"/>
    <n v="766484.34"/>
    <d v="2026-06-07T00:00:00"/>
    <d v="2026-04-24T00:00:00"/>
    <d v="2026-06-27T00:00:00"/>
    <s v="2000146210"/>
    <d v="2026-04-24T00:00:00"/>
    <m/>
    <m/>
    <s v="TOWER12A TUBULR3 LEG W PLT &amp; FNCE-FAB"/>
    <n v="689835.90599999996"/>
    <n v="7.6999999999999999E-2"/>
    <n v="64"/>
    <n v="9314"/>
    <n v="680521.90599999996"/>
    <m/>
    <m/>
    <m/>
    <m/>
    <m/>
    <m/>
    <n v="219233515.66"/>
  </r>
  <r>
    <n v="5"/>
    <n v="87"/>
    <s v="FABIND9INRDZI"/>
    <x v="2"/>
    <s v="I"/>
    <s v="FI2627000187"/>
    <d v="2026-04-24T00:00:00"/>
    <s v="INR"/>
    <n v="766484.34"/>
    <d v="2026-06-07T00:00:00"/>
    <d v="2026-04-24T00:00:00"/>
    <d v="2026-06-27T00:00:00"/>
    <s v="2000146212"/>
    <d v="2026-04-24T00:00:00"/>
    <m/>
    <m/>
    <s v="TOWER12A TUBULR3 LEG W PLT &amp; FNCE-FAB"/>
    <n v="689835.90599999996"/>
    <n v="7.6999999999999999E-2"/>
    <n v="64"/>
    <n v="9314"/>
    <n v="680521.90599999996"/>
    <m/>
    <m/>
    <m/>
    <m/>
    <m/>
    <m/>
    <n v="219233515.66"/>
  </r>
  <r>
    <n v="6"/>
    <n v="88"/>
    <s v="FABIND9INRDZI"/>
    <x v="2"/>
    <s v="I"/>
    <s v="FI2627000191"/>
    <d v="2026-04-24T00:00:00"/>
    <s v="INR"/>
    <n v="1151810.98"/>
    <d v="2026-06-07T00:00:00"/>
    <d v="2026-04-27T00:00:00"/>
    <d v="2026-06-27T00:00:00"/>
    <s v="2000146217"/>
    <d v="2026-04-24T00:00:00"/>
    <m/>
    <m/>
    <s v="GBT60M11A-STR439M/STUBLR3L W FENCE"/>
    <n v="1036629.882"/>
    <n v="7.6999999999999999E-2"/>
    <n v="61"/>
    <n v="13340"/>
    <n v="1023289.882"/>
    <m/>
    <m/>
    <m/>
    <m/>
    <m/>
    <m/>
    <n v="218848189.02000001"/>
  </r>
  <r>
    <n v="6"/>
    <n v="89"/>
    <s v="FABIND9INRDZI"/>
    <x v="2"/>
    <s v="I"/>
    <s v="FI2627000201"/>
    <d v="2026-04-26T00:00:00"/>
    <s v="INR"/>
    <n v="766484.34"/>
    <d v="2026-06-09T00:00:00"/>
    <d v="2026-04-27T00:00:00"/>
    <d v="2026-06-29T00:00:00"/>
    <s v="2000146236"/>
    <d v="2026-04-26T00:00:00"/>
    <m/>
    <m/>
    <s v="TOWER12A TUBULR3 LEG W PLT &amp; FNCE-FAB"/>
    <n v="689835.90599999996"/>
    <n v="7.6999999999999999E-2"/>
    <n v="63"/>
    <n v="9168"/>
    <n v="680667.90599999996"/>
    <m/>
    <m/>
    <m/>
    <m/>
    <m/>
    <m/>
    <n v="219233515.66"/>
  </r>
  <r>
    <n v="0"/>
    <n v="90"/>
    <s v="FABIND9INRDZI"/>
    <x v="3"/>
    <s v="I"/>
    <s v="FI2526007253"/>
    <d v="2025-12-29T00:00:00"/>
    <s v="INR"/>
    <n v="17142711.34"/>
    <d v="2026-04-28T00:00:00"/>
    <d v="2026-02-09T00:00:00"/>
    <d v="2026-05-18T00:00:00"/>
    <m/>
    <d v="2025-12-29T00:00:00"/>
    <m/>
    <m/>
    <m/>
    <n v="15428440.206"/>
    <n v="7.6999999999999999E-2"/>
    <n v="98"/>
    <n v="318967"/>
    <n v="15109473.206"/>
    <m/>
    <m/>
    <m/>
    <m/>
    <m/>
    <m/>
    <n v="66187288.659999996"/>
  </r>
  <r>
    <n v="0"/>
    <n v="91"/>
    <s v="FABIND9INRDZI"/>
    <x v="3"/>
    <s v="I"/>
    <s v="FI2526007571"/>
    <d v="2026-01-15T00:00:00"/>
    <s v="INR"/>
    <n v="40214"/>
    <d v="2026-05-15T00:00:00"/>
    <d v="2026-02-09T00:00:00"/>
    <d v="2026-06-04T00:00:00"/>
    <m/>
    <d v="2026-01-15T00:00:00"/>
    <m/>
    <m/>
    <m/>
    <n v="36192.6"/>
    <n v="7.6999999999999999E-2"/>
    <n v="115"/>
    <n v="878"/>
    <n v="35314.6"/>
    <m/>
    <m/>
    <m/>
    <m/>
    <m/>
    <m/>
    <n v="83289786"/>
  </r>
  <r>
    <n v="0"/>
    <n v="92"/>
    <s v="FABIND9INRDZI"/>
    <x v="3"/>
    <s v="I"/>
    <s v="FI2526007776"/>
    <d v="2026-01-21T00:00:00"/>
    <s v="INR"/>
    <n v="10602"/>
    <d v="2026-05-21T00:00:00"/>
    <d v="2026-02-09T00:00:00"/>
    <d v="2026-06-10T00:00:00"/>
    <m/>
    <d v="2026-01-21T00:00:00"/>
    <m/>
    <m/>
    <m/>
    <n v="9541.8000000000011"/>
    <n v="7.6999999999999999E-2"/>
    <n v="121"/>
    <n v="244"/>
    <n v="9297.8000000000011"/>
    <m/>
    <m/>
    <m/>
    <m/>
    <m/>
    <m/>
    <n v="83319398"/>
  </r>
  <r>
    <n v="0"/>
    <n v="93"/>
    <s v="FABIND9INRDZI"/>
    <x v="3"/>
    <s v="I"/>
    <s v="FI2526007863"/>
    <d v="2026-01-24T00:00:00"/>
    <s v="INR"/>
    <n v="4838730"/>
    <d v="2026-05-24T00:00:00"/>
    <d v="2026-02-09T00:00:00"/>
    <d v="2026-06-13T00:00:00"/>
    <m/>
    <d v="2026-01-24T00:00:00"/>
    <m/>
    <m/>
    <m/>
    <n v="4354857"/>
    <n v="7.6999999999999999E-2"/>
    <n v="124"/>
    <n v="113918"/>
    <n v="4240939"/>
    <m/>
    <m/>
    <m/>
    <m/>
    <m/>
    <m/>
    <n v="78491270"/>
  </r>
  <r>
    <n v="0"/>
    <n v="94"/>
    <s v="FABIND9INRDZI"/>
    <x v="3"/>
    <s v="I"/>
    <s v="FI2526008626"/>
    <d v="2026-02-19T00:00:00"/>
    <s v="INR"/>
    <n v="84594.2"/>
    <d v="2026-06-19T00:00:00"/>
    <d v="2026-04-17T00:00:00"/>
    <d v="2026-07-09T00:00:00"/>
    <m/>
    <d v="2026-02-19T00:00:00"/>
    <m/>
    <m/>
    <m/>
    <n v="76134.78"/>
    <n v="7.6999999999999999E-2"/>
    <n v="83"/>
    <n v="1333"/>
    <n v="74801.78"/>
    <m/>
    <m/>
    <m/>
    <m/>
    <m/>
    <m/>
    <n v="83245405.799999997"/>
  </r>
  <r>
    <n v="0"/>
    <n v="95"/>
    <s v="FABIND9INRDZI"/>
    <x v="3"/>
    <s v="I"/>
    <s v="FI2526008627"/>
    <d v="2026-02-19T00:00:00"/>
    <s v="INR"/>
    <n v="92346.8"/>
    <d v="2026-06-19T00:00:00"/>
    <d v="2026-04-17T00:00:00"/>
    <d v="2026-07-09T00:00:00"/>
    <m/>
    <d v="2026-02-19T00:00:00"/>
    <m/>
    <m/>
    <m/>
    <n v="83112.12000000001"/>
    <n v="7.6999999999999999E-2"/>
    <n v="83"/>
    <n v="1455"/>
    <n v="81657.12000000001"/>
    <m/>
    <m/>
    <m/>
    <m/>
    <m/>
    <m/>
    <n v="83237653.200000003"/>
  </r>
  <r>
    <n v="0"/>
    <n v="96"/>
    <s v="FABIND9INRDZI"/>
    <x v="3"/>
    <s v="I"/>
    <s v="FI2526008643"/>
    <d v="2026-02-20T00:00:00"/>
    <s v="INR"/>
    <n v="8340.24"/>
    <d v="2026-06-20T00:00:00"/>
    <d v="2026-04-17T00:00:00"/>
    <d v="2026-07-10T00:00:00"/>
    <m/>
    <d v="2026-02-20T00:00:00"/>
    <m/>
    <m/>
    <m/>
    <n v="7506.2160000000003"/>
    <n v="7.6999999999999999E-2"/>
    <n v="84"/>
    <n v="133"/>
    <n v="7373.2160000000003"/>
    <m/>
    <m/>
    <m/>
    <m/>
    <m/>
    <m/>
    <n v="83321659.760000005"/>
  </r>
  <r>
    <n v="0"/>
    <n v="97"/>
    <s v="FABIND9INRDZI"/>
    <x v="3"/>
    <s v="I"/>
    <s v="FI2526008847"/>
    <d v="2026-02-24T00:00:00"/>
    <s v="INR"/>
    <n v="1324019"/>
    <d v="2026-06-24T00:00:00"/>
    <d v="2026-04-17T00:00:00"/>
    <d v="2026-07-14T00:00:00"/>
    <m/>
    <d v="2026-02-24T00:00:00"/>
    <m/>
    <m/>
    <m/>
    <n v="1191617.1000000001"/>
    <n v="7.6999999999999999E-2"/>
    <n v="88"/>
    <n v="22122"/>
    <n v="1169495.1000000001"/>
    <m/>
    <m/>
    <m/>
    <m/>
    <m/>
    <m/>
    <n v="82005981"/>
  </r>
  <r>
    <n v="0"/>
    <n v="98"/>
    <s v="FABIND9INRDZI"/>
    <x v="3"/>
    <s v="I"/>
    <s v="FI2526009296"/>
    <d v="2026-03-10T00:00:00"/>
    <s v="INR"/>
    <n v="548932.46"/>
    <d v="2026-07-08T00:00:00"/>
    <d v="2026-04-17T00:00:00"/>
    <d v="2026-07-28T00:00:00"/>
    <m/>
    <d v="2026-03-10T00:00:00"/>
    <m/>
    <m/>
    <m/>
    <n v="494039.21399999998"/>
    <n v="7.6999999999999999E-2"/>
    <n v="102"/>
    <n v="10631"/>
    <n v="483408.21399999998"/>
    <m/>
    <m/>
    <m/>
    <m/>
    <m/>
    <m/>
    <n v="82781067.540000007"/>
  </r>
  <r>
    <n v="0"/>
    <n v="99"/>
    <s v="FABIND9INRDZI"/>
    <x v="3"/>
    <s v="I"/>
    <s v="FI2526009297"/>
    <d v="2026-03-10T00:00:00"/>
    <s v="INR"/>
    <n v="1132374.02"/>
    <d v="2026-07-08T00:00:00"/>
    <d v="2026-04-17T00:00:00"/>
    <d v="2026-07-28T00:00:00"/>
    <m/>
    <d v="2026-03-10T00:00:00"/>
    <m/>
    <m/>
    <m/>
    <n v="1019136.618"/>
    <n v="7.6999999999999999E-2"/>
    <n v="102"/>
    <n v="21930"/>
    <n v="997206.61800000002"/>
    <m/>
    <m/>
    <m/>
    <m/>
    <m/>
    <m/>
    <n v="82197625.980000004"/>
  </r>
  <r>
    <n v="0"/>
    <n v="100"/>
    <s v="FABIND9INRDZI"/>
    <x v="3"/>
    <s v="I"/>
    <s v="FI2526009375"/>
    <d v="2026-03-13T00:00:00"/>
    <s v="INR"/>
    <n v="2100392.92"/>
    <d v="2026-07-11T00:00:00"/>
    <d v="2026-04-17T00:00:00"/>
    <d v="2026-07-31T00:00:00"/>
    <m/>
    <d v="2026-03-13T00:00:00"/>
    <m/>
    <m/>
    <m/>
    <n v="1890353.628"/>
    <n v="7.6999999999999999E-2"/>
    <n v="105"/>
    <n v="41873"/>
    <n v="1848480.628"/>
    <m/>
    <m/>
    <m/>
    <m/>
    <m/>
    <m/>
    <n v="81229607.079999998"/>
  </r>
  <r>
    <n v="0"/>
    <n v="101"/>
    <s v="FABIND9INRDZI"/>
    <x v="3"/>
    <s v="I"/>
    <s v="FI2526009442"/>
    <d v="2026-03-16T00:00:00"/>
    <s v="INR"/>
    <n v="2956569.06"/>
    <d v="2026-07-14T00:00:00"/>
    <d v="2026-04-17T00:00:00"/>
    <d v="2026-08-03T00:00:00"/>
    <m/>
    <d v="2026-03-16T00:00:00"/>
    <m/>
    <m/>
    <m/>
    <n v="2660912.1540000001"/>
    <n v="7.6999999999999999E-2"/>
    <n v="108"/>
    <n v="60625"/>
    <n v="2600287.1540000001"/>
    <m/>
    <m/>
    <m/>
    <m/>
    <m/>
    <m/>
    <n v="80373430.939999998"/>
  </r>
  <r>
    <n v="0"/>
    <n v="102"/>
    <s v="FABIND9INRDZI"/>
    <x v="3"/>
    <s v="I"/>
    <s v="FI2526009688"/>
    <d v="2026-03-26T00:00:00"/>
    <s v="INR"/>
    <n v="451109.28"/>
    <d v="2026-07-24T00:00:00"/>
    <d v="2026-04-17T00:00:00"/>
    <d v="2026-08-13T00:00:00"/>
    <m/>
    <d v="2026-03-26T00:00:00"/>
    <m/>
    <m/>
    <m/>
    <n v="405998.35200000001"/>
    <n v="7.6999999999999999E-2"/>
    <n v="118"/>
    <n v="10107"/>
    <n v="395891.35200000001"/>
    <m/>
    <m/>
    <m/>
    <m/>
    <m/>
    <m/>
    <n v="82878890.719999999"/>
  </r>
  <r>
    <n v="0"/>
    <n v="103"/>
    <s v="FABIND9INRDZI"/>
    <x v="3"/>
    <s v="I"/>
    <s v="FI2526009689"/>
    <d v="2026-03-26T00:00:00"/>
    <s v="INR"/>
    <n v="155809.56"/>
    <d v="2026-07-24T00:00:00"/>
    <d v="2026-04-17T00:00:00"/>
    <d v="2026-08-13T00:00:00"/>
    <m/>
    <d v="2026-03-26T00:00:00"/>
    <m/>
    <m/>
    <m/>
    <n v="140228.60399999999"/>
    <n v="7.6999999999999999E-2"/>
    <n v="118"/>
    <n v="3491"/>
    <n v="136737.60399999999"/>
    <m/>
    <m/>
    <m/>
    <m/>
    <m/>
    <m/>
    <n v="83174190.439999998"/>
  </r>
  <r>
    <n v="0"/>
    <n v="104"/>
    <s v="FABIND9INRDZI"/>
    <x v="3"/>
    <s v="I"/>
    <s v="FI2526009710"/>
    <d v="2026-03-30T00:00:00"/>
    <s v="INR"/>
    <n v="1625674.2"/>
    <d v="2026-07-28T00:00:00"/>
    <d v="2026-04-17T00:00:00"/>
    <d v="2026-08-17T00:00:00"/>
    <m/>
    <d v="2026-03-30T00:00:00"/>
    <m/>
    <m/>
    <m/>
    <n v="1463106.78"/>
    <n v="7.6999999999999999E-2"/>
    <n v="122"/>
    <n v="37656"/>
    <n v="1425450.78"/>
    <m/>
    <m/>
    <m/>
    <m/>
    <m/>
    <m/>
    <n v="81704325.799999997"/>
  </r>
  <r>
    <n v="0"/>
    <n v="105"/>
    <s v="FABIND9INRDZI"/>
    <x v="3"/>
    <s v="I"/>
    <s v="FI2526009711"/>
    <d v="2026-03-30T00:00:00"/>
    <s v="INR"/>
    <n v="1627034.74"/>
    <d v="2026-07-28T00:00:00"/>
    <d v="2026-04-17T00:00:00"/>
    <d v="2026-08-17T00:00:00"/>
    <m/>
    <d v="2026-03-30T00:00:00"/>
    <m/>
    <m/>
    <m/>
    <n v="1464331.2660000001"/>
    <n v="7.6999999999999999E-2"/>
    <n v="122"/>
    <n v="37687"/>
    <n v="1426644.2660000001"/>
    <m/>
    <m/>
    <m/>
    <m/>
    <m/>
    <m/>
    <n v="81702965.260000005"/>
  </r>
  <r>
    <n v="1"/>
    <n v="106"/>
    <s v="FABIND9INRDZI"/>
    <x v="3"/>
    <s v="I"/>
    <s v="FI2627000103"/>
    <d v="2026-04-17T00:00:00"/>
    <s v="INR"/>
    <n v="5560.16"/>
    <d v="2026-08-15T00:00:00"/>
    <d v="2026-04-23T00:00:00"/>
    <d v="2026-09-04T00:00:00"/>
    <n v="91749"/>
    <d v="2026-04-17T00:00:00"/>
    <m/>
    <m/>
    <s v="C1B1124001756002-Suprt Plate Bsbr 2 Bsbr"/>
    <n v="5004.1440000000002"/>
    <n v="7.6999999999999999E-2"/>
    <n v="134"/>
    <n v="141"/>
    <n v="4863.1440000000002"/>
    <m/>
    <m/>
    <m/>
    <m/>
    <m/>
    <m/>
    <n v="83324439.840000004"/>
  </r>
  <r>
    <n v="1"/>
    <n v="107"/>
    <s v="FABIND9INRDZI"/>
    <x v="3"/>
    <s v="I"/>
    <s v="FI2627000138"/>
    <d v="2026-04-21T00:00:00"/>
    <s v="INR"/>
    <n v="357129.36"/>
    <d v="2026-08-19T00:00:00"/>
    <d v="2026-04-23T00:00:00"/>
    <d v="2026-09-08T00:00:00"/>
    <s v="NSK/7547"/>
    <d v="2026-04-21T00:00:00"/>
    <m/>
    <m/>
    <s v="PTD5903864004-Struct ISA 65X65X6"/>
    <n v="321416.424"/>
    <n v="7.6999999999999999E-2"/>
    <n v="138"/>
    <n v="9357"/>
    <n v="312059.424"/>
    <m/>
    <m/>
    <m/>
    <m/>
    <m/>
    <m/>
    <n v="82972870.640000001"/>
  </r>
  <r>
    <n v="1"/>
    <n v="108"/>
    <s v="FABIND9INRDZI"/>
    <x v="3"/>
    <s v="I"/>
    <s v="FI2627000141"/>
    <d v="2026-04-21T00:00:00"/>
    <s v="INR"/>
    <n v="418134.18"/>
    <d v="2026-08-19T00:00:00"/>
    <d v="2026-04-23T00:00:00"/>
    <d v="2026-09-08T00:00:00"/>
    <s v="NSK/7546"/>
    <d v="2026-04-21T00:00:00"/>
    <m/>
    <m/>
    <s v="PTD5903894001-Struct ISA 7575X8-3230L"/>
    <n v="376320.76199999999"/>
    <n v="7.6999999999999999E-2"/>
    <n v="138"/>
    <n v="10956"/>
    <n v="365364.76199999999"/>
    <m/>
    <m/>
    <m/>
    <m/>
    <m/>
    <m/>
    <n v="82911865.819999993"/>
  </r>
  <r>
    <n v="1"/>
    <n v="109"/>
    <s v="FABIND9INRDZI"/>
    <x v="3"/>
    <s v="I"/>
    <s v="FI2627000145"/>
    <d v="2026-04-21T00:00:00"/>
    <s v="INR"/>
    <n v="479139"/>
    <d v="2026-08-19T00:00:00"/>
    <d v="2026-04-23T00:00:00"/>
    <d v="2026-09-08T00:00:00"/>
    <s v="NSK/7545"/>
    <d v="2026-04-21T00:00:00"/>
    <m/>
    <m/>
    <s v="PTD5903754003-FB M39 X1080"/>
    <n v="431225.10000000003"/>
    <n v="7.6999999999999999E-2"/>
    <n v="138"/>
    <n v="12554"/>
    <n v="418671.10000000003"/>
    <m/>
    <m/>
    <m/>
    <m/>
    <m/>
    <m/>
    <n v="82850861"/>
  </r>
  <r>
    <n v="1"/>
    <n v="110"/>
    <s v="FABIND9INRDZI"/>
    <x v="3"/>
    <s v="I"/>
    <s v="FI2627000147"/>
    <d v="2026-04-21T00:00:00"/>
    <s v="INR"/>
    <n v="692866.5"/>
    <d v="2026-08-19T00:00:00"/>
    <d v="2026-04-23T00:00:00"/>
    <d v="2026-09-08T00:00:00"/>
    <s v="NSK/7548"/>
    <d v="2026-04-21T00:00:00"/>
    <m/>
    <m/>
    <s v="PTD5903754002 FB M36X1080 Non-PG 420 KV"/>
    <n v="623579.85"/>
    <n v="7.6999999999999999E-2"/>
    <n v="138"/>
    <n v="18154"/>
    <n v="605425.85"/>
    <m/>
    <m/>
    <m/>
    <m/>
    <m/>
    <m/>
    <n v="82637133.5"/>
  </r>
  <r>
    <n v="2"/>
    <n v="111"/>
    <s v="FABIND9INRDZI"/>
    <x v="3"/>
    <s v="I"/>
    <s v="FI2627000162"/>
    <d v="2026-04-22T00:00:00"/>
    <s v="INR"/>
    <n v="155809.56"/>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x v="3"/>
    <s v="I"/>
    <s v="FI2627000163"/>
    <d v="2026-04-22T00:00:00"/>
    <s v="INR"/>
    <n v="230361.96"/>
    <d v="2026-08-20T00:00:00"/>
    <d v="2026-04-23T00:00:00"/>
    <d v="2026-09-09T00:00:00"/>
    <s v="NSK/7582"/>
    <d v="2026-04-22T00:00:00"/>
    <m/>
    <m/>
    <s v="PTD5903542001-Platform wt Ladder 1450 Ht"/>
    <n v="207325.764"/>
    <n v="7.6999999999999999E-2"/>
    <n v="139"/>
    <n v="6079"/>
    <n v="201246.764"/>
    <m/>
    <m/>
    <m/>
    <m/>
    <m/>
    <m/>
    <n v="83099638.040000007"/>
  </r>
  <r>
    <n v="3"/>
    <n v="113"/>
    <s v="FABIND9INRDZI"/>
    <x v="3"/>
    <s v="I"/>
    <s v="FI2627000166"/>
    <d v="2026-04-23T00:00:00"/>
    <s v="INR"/>
    <n v="129841.3"/>
    <d v="2026-08-21T00:00:00"/>
    <d v="2026-04-23T00:00:00"/>
    <d v="2026-09-10T00:00:00"/>
    <s v="NSK/7583"/>
    <d v="2026-04-23T00:00:00"/>
    <m/>
    <m/>
    <s v="PTD5903542001-Platform wt Ladder 1450 Ht"/>
    <n v="116857.17"/>
    <n v="7.6999999999999999E-2"/>
    <n v="140"/>
    <n v="3451"/>
    <n v="113406.17"/>
    <m/>
    <m/>
    <m/>
    <m/>
    <m/>
    <m/>
    <n v="83200158.700000003"/>
  </r>
  <r>
    <n v="3"/>
    <n v="114"/>
    <s v="FABIND9INRDZI"/>
    <x v="3"/>
    <s v="I"/>
    <s v="FI2627000174"/>
    <d v="2026-04-23T00:00:00"/>
    <s v="INR"/>
    <n v="150509"/>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Invoice Disc Tranch"/>
    <s v="No."/>
    <s v="Account Code"/>
    <x v="0"/>
    <s v="Instrument Type"/>
    <s v="Instrument Number"/>
    <s v="Instrument Date"/>
    <s v="Instrument Currency"/>
    <s v="Instrument Amount"/>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x v="1"/>
    <s v="I"/>
    <s v="FI2627000000"/>
    <d v="2026-04-02T00:00:00"/>
    <s v="INR"/>
    <n v="561855.81999999995"/>
    <d v="2026-05-12T00:00:00"/>
    <d v="2026-04-17T00:00:00"/>
    <d v="2026-06-01T00:00:00"/>
    <n v="10001"/>
    <d v="2026-04-02T00:00:00"/>
    <m/>
    <m/>
    <s v="NBT 40Mtr Tower"/>
    <n v="505670.23799999995"/>
    <n v="7.6999999999999999E-2"/>
    <n v="45"/>
    <n v="4800"/>
    <n v="500870.23799999995"/>
    <m/>
    <m/>
    <m/>
    <m/>
    <n v="46174"/>
    <n v="4925227"/>
    <n v="274438144.18000001"/>
  </r>
  <r>
    <n v="1"/>
    <n v="2"/>
    <s v="FABIND9INRDZI"/>
    <x v="1"/>
    <s v="I"/>
    <s v="FI2627000001"/>
    <d v="2026-04-02T00:00:00"/>
    <s v="INR"/>
    <n v="561855.81999999995"/>
    <d v="2026-05-12T00:00:00"/>
    <d v="2026-04-17T00:00:00"/>
    <d v="2026-06-01T00:00:00"/>
    <n v="10003"/>
    <d v="2026-04-02T00:00:00"/>
    <m/>
    <m/>
    <s v="NBT 40Mtr Tower"/>
    <n v="505670.23799999995"/>
    <n v="7.6999999999999999E-2"/>
    <n v="45"/>
    <n v="4800"/>
    <n v="500870.23799999995"/>
    <m/>
    <m/>
    <m/>
    <m/>
    <m/>
    <m/>
    <n v="274438144.18000001"/>
  </r>
  <r>
    <n v="1"/>
    <n v="3"/>
    <s v="FABIND9INRDZI"/>
    <x v="1"/>
    <s v="I"/>
    <s v="FI2627000002"/>
    <d v="2026-04-02T00:00:00"/>
    <s v="INR"/>
    <n v="561855.81999999995"/>
    <d v="2026-05-12T00:00:00"/>
    <d v="2026-04-17T00:00:00"/>
    <d v="2026-06-01T00:00:00"/>
    <n v="10002"/>
    <d v="2026-04-02T00:00:00"/>
    <m/>
    <m/>
    <s v="NBT 40Mtr Tower"/>
    <n v="505670.23799999995"/>
    <n v="7.6999999999999999E-2"/>
    <n v="45"/>
    <n v="4800"/>
    <n v="500870.23799999995"/>
    <m/>
    <m/>
    <m/>
    <m/>
    <m/>
    <m/>
    <n v="274438144.18000001"/>
  </r>
  <r>
    <n v="1"/>
    <n v="4"/>
    <s v="FABIND9INRDZI"/>
    <x v="1"/>
    <s v="I"/>
    <s v="FI2627000003"/>
    <d v="2026-04-02T00:00:00"/>
    <s v="INR"/>
    <n v="561855.81999999995"/>
    <d v="2026-05-12T00:00:00"/>
    <d v="2026-04-17T00:00:00"/>
    <d v="2026-06-01T00:00:00"/>
    <n v="10004"/>
    <d v="2026-04-02T00:00:00"/>
    <m/>
    <m/>
    <s v="NBT 40Mtr Tower"/>
    <n v="505670.23799999995"/>
    <n v="7.6999999999999999E-2"/>
    <n v="45"/>
    <n v="4800"/>
    <n v="500870.23799999995"/>
    <m/>
    <m/>
    <m/>
    <m/>
    <m/>
    <m/>
    <n v="274438144.18000001"/>
  </r>
  <r>
    <n v="1"/>
    <n v="5"/>
    <s v="FABIND9INRDZI"/>
    <x v="1"/>
    <s v="I"/>
    <s v="FI2627000005"/>
    <d v="2026-04-03T00:00:00"/>
    <s v="INR"/>
    <n v="561855.81999999995"/>
    <d v="2026-05-13T00:00:00"/>
    <d v="2026-04-17T00:00:00"/>
    <d v="2026-06-02T00:00:00"/>
    <n v="10005"/>
    <d v="2026-04-03T00:00:00"/>
    <m/>
    <m/>
    <s v="NBT 40Mtr Tower"/>
    <n v="505670.23799999995"/>
    <n v="7.6999999999999999E-2"/>
    <n v="46"/>
    <n v="4907"/>
    <n v="500763.23799999995"/>
    <m/>
    <m/>
    <m/>
    <m/>
    <m/>
    <m/>
    <n v="274438144.18000001"/>
  </r>
  <r>
    <n v="1"/>
    <n v="6"/>
    <s v="FABIND9INRDZI"/>
    <x v="1"/>
    <s v="I"/>
    <s v="FI2627000006"/>
    <d v="2026-04-03T00:00:00"/>
    <s v="INR"/>
    <n v="561855.81999999995"/>
    <d v="2026-05-13T00:00:00"/>
    <d v="2026-04-17T00:00:00"/>
    <d v="2026-06-02T00:00:00"/>
    <n v="10006"/>
    <d v="2026-04-03T00:00:00"/>
    <m/>
    <m/>
    <s v="NBT 40Mtr Tower"/>
    <n v="505670.23799999995"/>
    <n v="7.6999999999999999E-2"/>
    <n v="46"/>
    <n v="4907"/>
    <n v="500763.23799999995"/>
    <m/>
    <m/>
    <m/>
    <m/>
    <m/>
    <m/>
    <n v="274438144.18000001"/>
  </r>
  <r>
    <n v="1"/>
    <n v="7"/>
    <s v="FABIND9INRDZI"/>
    <x v="1"/>
    <s v="I"/>
    <s v="FI2627000016"/>
    <d v="2026-04-03T00:00:00"/>
    <s v="INR"/>
    <n v="442595.58"/>
    <d v="2026-05-13T00:00:00"/>
    <d v="2026-04-17T00:00:00"/>
    <d v="2026-06-02T00:00:00"/>
    <n v="10007"/>
    <d v="2026-04-03T00:00:00"/>
    <m/>
    <m/>
    <s v="TOWER GBT 3Legged VM 30M 170KMPH"/>
    <n v="398336.022"/>
    <n v="7.6999999999999999E-2"/>
    <n v="46"/>
    <n v="3865"/>
    <n v="394471.022"/>
    <m/>
    <m/>
    <m/>
    <m/>
    <m/>
    <m/>
    <n v="274557404.42000002"/>
  </r>
  <r>
    <n v="1"/>
    <n v="8"/>
    <s v="FABIND9INRDZI"/>
    <x v="1"/>
    <s v="I"/>
    <s v="FI2627000027"/>
    <d v="2026-04-05T00:00:00"/>
    <s v="INR"/>
    <n v="752314.9"/>
    <d v="2026-05-15T00:00:00"/>
    <d v="2026-04-17T00:00:00"/>
    <d v="2026-06-04T00:00:00"/>
    <n v="78287"/>
    <d v="2026-04-05T00:00:00"/>
    <m/>
    <m/>
    <s v="BIL - Tower GBT 40M 200 KMPH"/>
    <n v="677083.41"/>
    <n v="7.6999999999999999E-2"/>
    <n v="48"/>
    <n v="6856"/>
    <n v="670227.41"/>
    <m/>
    <m/>
    <m/>
    <m/>
    <m/>
    <m/>
    <n v="274247685.10000002"/>
  </r>
  <r>
    <n v="1"/>
    <n v="9"/>
    <s v="FABIND9INRDZI"/>
    <x v="1"/>
    <s v="I"/>
    <s v="FI2627000030"/>
    <d v="2026-04-05T00:00:00"/>
    <s v="INR"/>
    <n v="689850.92"/>
    <d v="2026-05-15T00:00:00"/>
    <d v="2026-04-17T00:00:00"/>
    <d v="2026-06-04T00:00:00"/>
    <n v="10010"/>
    <d v="2026-04-05T00:00:00"/>
    <m/>
    <m/>
    <s v="INDUS SOLAR STRUCTURE(2PX5-30/20 DEGREE)"/>
    <n v="620865.8280000001"/>
    <n v="7.6999999999999999E-2"/>
    <n v="48"/>
    <n v="6287"/>
    <n v="614578.8280000001"/>
    <m/>
    <m/>
    <m/>
    <m/>
    <m/>
    <m/>
    <n v="274310149.07999998"/>
  </r>
  <r>
    <n v="1"/>
    <n v="10"/>
    <s v="FABIND9INRDZI"/>
    <x v="1"/>
    <s v="I"/>
    <s v="FI2627000031"/>
    <d v="2026-04-05T00:00:00"/>
    <s v="INR"/>
    <n v="689850.92"/>
    <d v="2026-05-15T00:00:00"/>
    <d v="2026-04-17T00:00:00"/>
    <d v="2026-06-04T00:00:00"/>
    <n v="10011"/>
    <d v="2026-04-05T00:00:00"/>
    <m/>
    <m/>
    <s v="INDUS SOLAR STRUCTURE(2PX5-30/20 DEGREE)"/>
    <n v="620865.8280000001"/>
    <n v="7.6999999999999999E-2"/>
    <n v="48"/>
    <n v="6287"/>
    <n v="614578.8280000001"/>
    <m/>
    <m/>
    <m/>
    <m/>
    <m/>
    <m/>
    <n v="274310149.07999998"/>
  </r>
  <r>
    <n v="1"/>
    <n v="11"/>
    <s v="FABIND9INRDZI"/>
    <x v="1"/>
    <s v="I"/>
    <s v="FI2627000032"/>
    <d v="2026-04-05T00:00:00"/>
    <s v="INR"/>
    <n v="232106"/>
    <d v="2026-05-15T00:00:00"/>
    <d v="2026-04-17T00:00:00"/>
    <d v="2026-06-04T00:00:00"/>
    <n v="10014"/>
    <d v="2026-04-05T00:00:00"/>
    <m/>
    <m/>
    <s v="CIP RITA 15MTR"/>
    <n v="208895.4"/>
    <n v="7.6999999999999999E-2"/>
    <n v="48"/>
    <n v="2115"/>
    <n v="206780.4"/>
    <m/>
    <m/>
    <m/>
    <m/>
    <m/>
    <m/>
    <n v="274767894"/>
  </r>
  <r>
    <n v="2"/>
    <n v="12"/>
    <s v="FABIND9INRDZI"/>
    <x v="1"/>
    <s v="I"/>
    <s v="FI2627000043"/>
    <d v="2026-04-06T00:00:00"/>
    <s v="INR"/>
    <n v="647363.34"/>
    <d v="2026-05-16T00:00:00"/>
    <d v="2026-04-17T00:00:00"/>
    <d v="2026-06-05T00:00:00"/>
    <n v="10016"/>
    <d v="2026-04-06T00:00:00"/>
    <m/>
    <m/>
    <s v="TowerGBT-3 Leg Tubular VT30M 200 KMPH"/>
    <n v="582627.00599999994"/>
    <n v="7.6999999999999999E-2"/>
    <n v="49"/>
    <n v="6023"/>
    <n v="576604.00599999994"/>
    <m/>
    <m/>
    <m/>
    <m/>
    <m/>
    <m/>
    <n v="274352636.66000003"/>
  </r>
  <r>
    <n v="2"/>
    <n v="13"/>
    <s v="FABIND9INRDZI"/>
    <x v="1"/>
    <s v="I"/>
    <s v="FI2627000044"/>
    <d v="2026-04-06T00:00:00"/>
    <s v="INR"/>
    <n v="647363.34"/>
    <d v="2026-05-16T00:00:00"/>
    <d v="2026-04-17T00:00:00"/>
    <d v="2026-06-05T00:00:00"/>
    <n v="10017"/>
    <d v="2026-04-06T00:00:00"/>
    <m/>
    <m/>
    <s v="TowerGBT-3 Leg Tubular VT30M 200 KMPH"/>
    <n v="582627.00599999994"/>
    <n v="7.6999999999999999E-2"/>
    <n v="49"/>
    <n v="6023"/>
    <n v="576604.00599999994"/>
    <m/>
    <m/>
    <m/>
    <m/>
    <m/>
    <m/>
    <n v="274352636.66000003"/>
  </r>
  <r>
    <n v="2"/>
    <n v="14"/>
    <s v="FABIND9INRDZI"/>
    <x v="1"/>
    <s v="I"/>
    <s v="FI2627000045"/>
    <d v="2026-04-06T00:00:00"/>
    <s v="INR"/>
    <n v="647363.34"/>
    <d v="2026-05-16T00:00:00"/>
    <d v="2026-04-17T00:00:00"/>
    <d v="2026-06-05T00:00:00"/>
    <n v="10018"/>
    <d v="2026-04-06T00:00:00"/>
    <m/>
    <m/>
    <s v="TowerGBT-3 Leg Tubular VT30M 200 KMPH"/>
    <n v="582627.00599999994"/>
    <n v="7.6999999999999999E-2"/>
    <n v="49"/>
    <n v="6023"/>
    <n v="576604.00599999994"/>
    <m/>
    <m/>
    <m/>
    <m/>
    <m/>
    <m/>
    <n v="274352636.66000003"/>
  </r>
  <r>
    <n v="2"/>
    <n v="15"/>
    <s v="FABIND9INRDZI"/>
    <x v="1"/>
    <s v="I"/>
    <s v="FI2627000047"/>
    <d v="2026-04-06T00:00:00"/>
    <s v="INR"/>
    <n v="647363.34"/>
    <d v="2026-05-16T00:00:00"/>
    <d v="2026-04-17T00:00:00"/>
    <d v="2026-06-05T00:00:00"/>
    <n v="10019"/>
    <d v="2026-04-06T00:00:00"/>
    <m/>
    <m/>
    <s v="TowerGBT-3 Leg Tubular VT30M 200 KMPH"/>
    <n v="582627.00599999994"/>
    <n v="7.6999999999999999E-2"/>
    <n v="49"/>
    <n v="6023"/>
    <n v="576604.00599999994"/>
    <m/>
    <m/>
    <m/>
    <m/>
    <m/>
    <m/>
    <n v="274352636.66000003"/>
  </r>
  <r>
    <n v="3"/>
    <n v="16"/>
    <s v="FABIND9INRDZI"/>
    <x v="1"/>
    <s v="I"/>
    <s v="FI2627000052"/>
    <d v="2026-04-08T00:00:00"/>
    <s v="INR"/>
    <n v="647363.34"/>
    <d v="2026-05-18T00:00:00"/>
    <d v="2026-04-17T00:00:00"/>
    <d v="2026-06-07T00:00:00"/>
    <n v="10020"/>
    <d v="2026-04-08T00:00:00"/>
    <m/>
    <m/>
    <s v="TowerGBT-3 Leg Tubular VT30M 200 KMPH"/>
    <n v="582627.00599999994"/>
    <n v="7.6999999999999999E-2"/>
    <n v="51"/>
    <n v="6268"/>
    <n v="576359.00599999994"/>
    <m/>
    <m/>
    <m/>
    <m/>
    <m/>
    <m/>
    <n v="274352636.66000003"/>
  </r>
  <r>
    <n v="3"/>
    <n v="17"/>
    <s v="FABIND9INRDZI"/>
    <x v="1"/>
    <s v="I"/>
    <s v="FI2627000063"/>
    <d v="2026-04-10T00:00:00"/>
    <s v="INR"/>
    <n v="774998.04"/>
    <d v="2026-05-20T00:00:00"/>
    <d v="2026-04-17T00:00:00"/>
    <d v="2026-06-09T00:00:00"/>
    <n v="778"/>
    <d v="2026-04-10T00:00:00"/>
    <m/>
    <m/>
    <s v="BIL - Tower GBT 40M 200 KMPH"/>
    <n v="697498.23600000003"/>
    <n v="7.6999999999999999E-2"/>
    <n v="53"/>
    <n v="7799"/>
    <n v="689699.23600000003"/>
    <m/>
    <m/>
    <m/>
    <m/>
    <m/>
    <m/>
    <n v="274225001.95999998"/>
  </r>
  <r>
    <n v="3"/>
    <n v="18"/>
    <s v="FABIND9INRDZI"/>
    <x v="1"/>
    <s v="I"/>
    <s v="FI2627000064"/>
    <d v="2026-04-10T00:00:00"/>
    <s v="INR"/>
    <n v="774998.04"/>
    <d v="2026-05-20T00:00:00"/>
    <d v="2026-04-17T00:00:00"/>
    <d v="2026-06-09T00:00:00"/>
    <n v="10024"/>
    <d v="2026-04-10T00:00:00"/>
    <m/>
    <m/>
    <s v="BIL - Tower GBT 40M 200 KMPH"/>
    <n v="697498.23600000003"/>
    <n v="7.6999999999999999E-2"/>
    <n v="53"/>
    <n v="7799"/>
    <n v="689699.23600000003"/>
    <m/>
    <m/>
    <m/>
    <m/>
    <m/>
    <m/>
    <n v="274225001.95999998"/>
  </r>
  <r>
    <n v="3"/>
    <n v="19"/>
    <s v="FABIND9INRDZI"/>
    <x v="1"/>
    <s v="I"/>
    <s v="FI2627000065"/>
    <d v="2026-04-10T00:00:00"/>
    <s v="INR"/>
    <n v="774998.04"/>
    <d v="2026-05-20T00:00:00"/>
    <d v="2026-04-17T00:00:00"/>
    <d v="2026-06-09T00:00:00"/>
    <n v="779"/>
    <d v="2026-04-10T00:00:00"/>
    <m/>
    <m/>
    <s v="BIL - Tower GBT 40M 200 KMPH"/>
    <n v="697498.23600000003"/>
    <n v="7.6999999999999999E-2"/>
    <n v="53"/>
    <n v="7799"/>
    <n v="689699.23600000003"/>
    <m/>
    <m/>
    <m/>
    <m/>
    <m/>
    <m/>
    <n v="274225001.95999998"/>
  </r>
  <r>
    <n v="3"/>
    <n v="20"/>
    <s v="FABIND9INRDZI"/>
    <x v="1"/>
    <s v="I"/>
    <s v="FI2627000066"/>
    <d v="2026-04-10T00:00:00"/>
    <s v="INR"/>
    <n v="774998.04"/>
    <d v="2026-05-20T00:00:00"/>
    <d v="2026-04-17T00:00:00"/>
    <d v="2026-06-09T00:00:00"/>
    <n v="10025"/>
    <d v="2026-04-10T00:00:00"/>
    <m/>
    <m/>
    <s v="BIL - Tower GBT 40M 200 KMPH"/>
    <n v="697498.23600000003"/>
    <n v="7.6999999999999999E-2"/>
    <n v="53"/>
    <n v="7799"/>
    <n v="689699.23600000003"/>
    <m/>
    <m/>
    <m/>
    <m/>
    <m/>
    <m/>
    <n v="274225001.95999998"/>
  </r>
  <r>
    <n v="3"/>
    <n v="21"/>
    <s v="FABIND9INRDZI"/>
    <x v="1"/>
    <s v="I"/>
    <s v="FI2627000067"/>
    <d v="2026-04-10T00:00:00"/>
    <s v="INR"/>
    <n v="774998.04"/>
    <d v="2026-05-20T00:00:00"/>
    <d v="2026-04-17T00:00:00"/>
    <d v="2026-06-09T00:00:00"/>
    <n v="10026"/>
    <d v="2026-04-10T00:00:00"/>
    <m/>
    <m/>
    <s v="BIL - Tower GBT 40M 200 KMPH"/>
    <n v="697498.23600000003"/>
    <n v="7.6999999999999999E-2"/>
    <n v="53"/>
    <n v="7799"/>
    <n v="689699.23600000003"/>
    <m/>
    <m/>
    <m/>
    <m/>
    <m/>
    <m/>
    <n v="274225001.95999998"/>
  </r>
  <r>
    <n v="3"/>
    <n v="22"/>
    <s v="FABIND9INRDZI"/>
    <x v="1"/>
    <s v="I"/>
    <s v="FI2627000069"/>
    <d v="2026-04-12T00:00:00"/>
    <s v="INR"/>
    <n v="647363.34"/>
    <d v="2026-05-22T00:00:00"/>
    <d v="2026-04-17T00:00:00"/>
    <d v="2026-06-11T00:00:00"/>
    <n v="780"/>
    <d v="2026-04-12T00:00:00"/>
    <m/>
    <m/>
    <s v="TowerGBT-3 Leg Tubular VT30M 200 KMPH"/>
    <n v="582627.00599999994"/>
    <n v="7.6999999999999999E-2"/>
    <n v="55"/>
    <n v="6760"/>
    <n v="575867.00599999994"/>
    <m/>
    <m/>
    <m/>
    <m/>
    <m/>
    <m/>
    <n v="274352636.66000003"/>
  </r>
  <r>
    <n v="3"/>
    <n v="23"/>
    <s v="FABIND9INRDZI"/>
    <x v="1"/>
    <s v="I"/>
    <s v="FI2627000070"/>
    <d v="2026-04-12T00:00:00"/>
    <s v="INR"/>
    <n v="147186.12"/>
    <d v="2026-05-22T00:00:00"/>
    <d v="2026-04-17T00:00:00"/>
    <d v="2026-06-11T00:00:00"/>
    <n v="781"/>
    <d v="2026-04-12T00:00:00"/>
    <m/>
    <m/>
    <s v="Cast In part GBT-3L TBLR VT30M 200KMPH"/>
    <n v="132467.508"/>
    <n v="7.6999999999999999E-2"/>
    <n v="55"/>
    <n v="1537"/>
    <n v="130930.508"/>
    <m/>
    <m/>
    <m/>
    <m/>
    <m/>
    <m/>
    <n v="274852813.88"/>
  </r>
  <r>
    <n v="3"/>
    <n v="24"/>
    <s v="FABIND9INRDZI"/>
    <x v="1"/>
    <s v="I"/>
    <s v="FI2627000071"/>
    <d v="2026-04-12T00:00:00"/>
    <s v="INR"/>
    <n v="774998.04"/>
    <d v="2026-05-22T00:00:00"/>
    <d v="2026-04-17T00:00:00"/>
    <d v="2026-06-11T00:00:00"/>
    <n v="10030"/>
    <d v="2026-04-12T00:00:00"/>
    <m/>
    <m/>
    <s v="BIL - Tower GBT 40M 200 KMPH"/>
    <n v="697498.23600000003"/>
    <n v="7.6999999999999999E-2"/>
    <n v="55"/>
    <n v="8093"/>
    <n v="689405.23600000003"/>
    <m/>
    <m/>
    <m/>
    <m/>
    <m/>
    <m/>
    <n v="274225001.95999998"/>
  </r>
  <r>
    <n v="3"/>
    <n v="25"/>
    <s v="FABIND9INRDZI"/>
    <x v="1"/>
    <s v="I"/>
    <s v="FI2627000072"/>
    <d v="2026-04-12T00:00:00"/>
    <s v="INR"/>
    <n v="774998.04"/>
    <d v="2026-05-22T00:00:00"/>
    <d v="2026-04-17T00:00:00"/>
    <d v="2026-06-11T00:00:00"/>
    <n v="10031"/>
    <d v="2026-04-12T00:00:00"/>
    <m/>
    <m/>
    <s v="BIL - Tower GBT 40M 200 KMPH"/>
    <n v="697498.23600000003"/>
    <n v="7.6999999999999999E-2"/>
    <n v="55"/>
    <n v="8093"/>
    <n v="689405.23600000003"/>
    <m/>
    <m/>
    <m/>
    <m/>
    <m/>
    <m/>
    <n v="274225001.95999998"/>
  </r>
  <r>
    <n v="3"/>
    <n v="26"/>
    <s v="FABIND9INRDZI"/>
    <x v="1"/>
    <s v="I"/>
    <s v="FI2627000077"/>
    <d v="2026-04-13T00:00:00"/>
    <s v="INR"/>
    <n v="774998.04"/>
    <d v="2026-05-23T00:00:00"/>
    <d v="2026-04-17T00:00:00"/>
    <d v="2026-06-12T00:00:00"/>
    <n v="78501"/>
    <d v="2026-04-13T00:00:00"/>
    <m/>
    <m/>
    <s v="BIL - Tower GBT 40M 200 KMPH"/>
    <n v="697498.23600000003"/>
    <n v="7.6999999999999999E-2"/>
    <n v="56"/>
    <n v="8240"/>
    <n v="689258.23600000003"/>
    <m/>
    <m/>
    <m/>
    <m/>
    <m/>
    <m/>
    <n v="274225001.95999998"/>
  </r>
  <r>
    <n v="3"/>
    <n v="27"/>
    <s v="FABIND9INRDZI"/>
    <x v="1"/>
    <s v="I"/>
    <s v="FI2627000078"/>
    <d v="2026-04-13T00:00:00"/>
    <s v="INR"/>
    <n v="774998.04"/>
    <d v="2026-05-23T00:00:00"/>
    <d v="2026-04-17T00:00:00"/>
    <d v="2026-06-12T00:00:00"/>
    <n v="78502"/>
    <d v="2026-04-13T00:00:00"/>
    <m/>
    <m/>
    <s v="BIL - Tower GBT 40M 200 KMPH"/>
    <n v="697498.23600000003"/>
    <n v="7.6999999999999999E-2"/>
    <n v="56"/>
    <n v="8240"/>
    <n v="689258.23600000003"/>
    <m/>
    <m/>
    <m/>
    <m/>
    <m/>
    <m/>
    <n v="274225001.95999998"/>
  </r>
  <r>
    <n v="3"/>
    <n v="28"/>
    <s v="FABIND9INRDZI"/>
    <x v="1"/>
    <s v="I"/>
    <s v="FI2627000079"/>
    <d v="2026-04-13T00:00:00"/>
    <s v="INR"/>
    <n v="774998.04"/>
    <d v="2026-05-23T00:00:00"/>
    <d v="2026-04-17T00:00:00"/>
    <d v="2026-06-12T00:00:00"/>
    <n v="78503"/>
    <d v="2026-04-13T00:00:00"/>
    <m/>
    <m/>
    <s v="BIL - Tower GBT 40M 200 KMPH"/>
    <n v="697498.23600000003"/>
    <n v="7.6999999999999999E-2"/>
    <n v="56"/>
    <n v="8240"/>
    <n v="689258.23600000003"/>
    <m/>
    <m/>
    <m/>
    <m/>
    <m/>
    <m/>
    <n v="274225001.95999998"/>
  </r>
  <r>
    <n v="4"/>
    <n v="29"/>
    <s v="FABIND9INRDZI"/>
    <x v="1"/>
    <s v="I"/>
    <s v="FI2627000084"/>
    <d v="2026-04-15T00:00:00"/>
    <s v="INR"/>
    <n v="661895.04"/>
    <d v="2026-05-25T00:00:00"/>
    <d v="2026-04-20T00:00:00"/>
    <d v="2026-06-14T00:00:00"/>
    <n v="78510"/>
    <d v="2026-04-15T00:00:00"/>
    <m/>
    <m/>
    <s v="TowerGBT-3 Leg Tubular VT30M 200 KMPH"/>
    <n v="595705.53600000008"/>
    <n v="7.6999999999999999E-2"/>
    <n v="55"/>
    <n v="6912"/>
    <n v="588793.53600000008"/>
    <m/>
    <m/>
    <m/>
    <m/>
    <m/>
    <m/>
    <n v="274338104.95999998"/>
  </r>
  <r>
    <n v="4"/>
    <n v="30"/>
    <s v="FABIND9INRDZI"/>
    <x v="1"/>
    <s v="I"/>
    <s v="FI2627000085"/>
    <d v="2026-04-15T00:00:00"/>
    <s v="INR"/>
    <n v="661895.04"/>
    <d v="2026-05-25T00:00:00"/>
    <d v="2026-04-20T00:00:00"/>
    <d v="2026-06-14T00:00:00"/>
    <n v="78511"/>
    <d v="2026-04-15T00:00:00"/>
    <m/>
    <m/>
    <s v="TowerGBT-3 Leg Tubular VT30M 200 KMPH"/>
    <n v="595705.53600000008"/>
    <n v="7.6999999999999999E-2"/>
    <n v="55"/>
    <n v="6912"/>
    <n v="588793.53600000008"/>
    <m/>
    <m/>
    <m/>
    <m/>
    <m/>
    <m/>
    <n v="274338104.95999998"/>
  </r>
  <r>
    <n v="4"/>
    <n v="31"/>
    <s v="FABIND9INRDZI"/>
    <x v="1"/>
    <s v="I"/>
    <s v="FI2627000086"/>
    <d v="2026-04-15T00:00:00"/>
    <s v="INR"/>
    <n v="661895.04"/>
    <d v="2026-05-25T00:00:00"/>
    <d v="2026-04-20T00:00:00"/>
    <d v="2026-06-14T00:00:00"/>
    <n v="21123"/>
    <d v="2026-04-15T00:00:00"/>
    <m/>
    <m/>
    <s v="TowerGBT-3 Leg Tubular VT30M 200 KMPH"/>
    <n v="595705.53600000008"/>
    <n v="7.6999999999999999E-2"/>
    <n v="55"/>
    <n v="6912"/>
    <n v="588793.53600000008"/>
    <m/>
    <m/>
    <m/>
    <m/>
    <m/>
    <m/>
    <n v="274338104.95999998"/>
  </r>
  <r>
    <n v="4"/>
    <n v="32"/>
    <s v="FABIND9INRDZI"/>
    <x v="1"/>
    <s v="I"/>
    <s v="FI2627000087"/>
    <d v="2026-04-15T00:00:00"/>
    <s v="INR"/>
    <n v="661895.04"/>
    <d v="2026-05-25T00:00:00"/>
    <d v="2026-04-20T00:00:00"/>
    <d v="2026-06-14T00:00:00"/>
    <n v="78512"/>
    <d v="2026-04-15T00:00:00"/>
    <m/>
    <m/>
    <s v="TowerGBT-3 Leg Tubular VT30M 200 KMPH"/>
    <n v="595705.53600000008"/>
    <n v="7.6999999999999999E-2"/>
    <n v="55"/>
    <n v="6912"/>
    <n v="588793.53600000008"/>
    <m/>
    <m/>
    <m/>
    <m/>
    <m/>
    <m/>
    <n v="274338104.95999998"/>
  </r>
  <r>
    <n v="4"/>
    <n v="33"/>
    <s v="FABIND9INRDZI"/>
    <x v="1"/>
    <s v="I"/>
    <s v="FI2627000109"/>
    <d v="2026-04-19T00:00:00"/>
    <s v="INR"/>
    <n v="506008.78"/>
    <d v="2026-05-29T00:00:00"/>
    <d v="2026-04-20T00:00:00"/>
    <d v="2026-06-18T00:00:00"/>
    <n v="10038"/>
    <d v="2026-04-19T00:00:00"/>
    <m/>
    <m/>
    <s v="Tower- GBT- Elite 403 STR - 3L TBLR 40M"/>
    <n v="455407.90200000006"/>
    <n v="7.6999999999999999E-2"/>
    <n v="59"/>
    <n v="5668"/>
    <n v="449739.90200000006"/>
    <m/>
    <m/>
    <m/>
    <m/>
    <m/>
    <m/>
    <n v="274493991.22000003"/>
  </r>
  <r>
    <n v="4"/>
    <n v="34"/>
    <s v="FABIND9INRDZI"/>
    <x v="1"/>
    <s v="I"/>
    <s v="FI2627000110"/>
    <d v="2026-04-19T00:00:00"/>
    <s v="INR"/>
    <n v="506008.78"/>
    <d v="2026-05-29T00:00:00"/>
    <d v="2026-04-20T00:00:00"/>
    <d v="2026-06-18T00:00:00"/>
    <n v="10039"/>
    <d v="2026-04-19T00:00:00"/>
    <m/>
    <m/>
    <s v="Tower- GBT- Elite 403 STR - 3L TBLR 40M"/>
    <n v="455407.90200000006"/>
    <n v="7.6999999999999999E-2"/>
    <n v="59"/>
    <n v="5668"/>
    <n v="449739.90200000006"/>
    <m/>
    <m/>
    <m/>
    <m/>
    <m/>
    <m/>
    <n v="274493991.22000003"/>
  </r>
  <r>
    <n v="4"/>
    <n v="35"/>
    <s v="FABIND9INRDZI"/>
    <x v="1"/>
    <s v="I"/>
    <s v="FI2627000111"/>
    <d v="2026-04-19T00:00:00"/>
    <s v="INR"/>
    <n v="506008.78"/>
    <d v="2026-05-29T00:00:00"/>
    <d v="2026-04-20T00:00:00"/>
    <d v="2026-06-18T00:00:00"/>
    <n v="10040"/>
    <d v="2026-04-19T00:00:00"/>
    <m/>
    <m/>
    <s v="Tower- GBT- Elite 403 STR - 3L TBLR 40M"/>
    <n v="455407.90200000006"/>
    <n v="7.6999999999999999E-2"/>
    <n v="59"/>
    <n v="5668"/>
    <n v="449739.90200000006"/>
    <m/>
    <m/>
    <m/>
    <m/>
    <m/>
    <m/>
    <n v="274493991.22000003"/>
  </r>
  <r>
    <n v="4"/>
    <n v="36"/>
    <s v="FABIND9INRDZI"/>
    <x v="1"/>
    <s v="I"/>
    <s v="FI2627000112"/>
    <d v="2026-04-19T00:00:00"/>
    <s v="INR"/>
    <n v="506008.78"/>
    <d v="2026-05-29T00:00:00"/>
    <d v="2026-04-20T00:00:00"/>
    <d v="2026-06-18T00:00:00"/>
    <n v="10041"/>
    <d v="2026-04-19T00:00:00"/>
    <m/>
    <m/>
    <s v="Tower- GBT- Elite 403 STR - 3L TBLR 40M"/>
    <n v="455407.90200000006"/>
    <n v="7.6999999999999999E-2"/>
    <n v="59"/>
    <n v="5668"/>
    <n v="449739.90200000006"/>
    <m/>
    <m/>
    <m/>
    <m/>
    <m/>
    <m/>
    <n v="274493991.22000003"/>
  </r>
  <r>
    <n v="5"/>
    <n v="37"/>
    <s v="FABIND9INRDZI"/>
    <x v="1"/>
    <s v="I"/>
    <s v="FI2627000118"/>
    <d v="2026-04-20T00:00:00"/>
    <s v="INR"/>
    <n v="483325.64"/>
    <d v="2026-05-30T00:00:00"/>
    <d v="2026-04-23T00:00:00"/>
    <d v="2026-06-19T00:00:00"/>
    <n v="10043"/>
    <d v="2026-04-20T00:00:00"/>
    <m/>
    <m/>
    <s v="Tower- GBT- Elite 403 STR - 3L TBLR 40M"/>
    <n v="434993.076"/>
    <n v="7.6999999999999999E-2"/>
    <n v="57"/>
    <n v="5231"/>
    <n v="429762.076"/>
    <m/>
    <m/>
    <m/>
    <m/>
    <m/>
    <m/>
    <n v="274516674.36000001"/>
  </r>
  <r>
    <n v="5"/>
    <n v="38"/>
    <s v="FABIND9INRDZI"/>
    <x v="1"/>
    <s v="I"/>
    <s v="FI2627000119"/>
    <d v="2026-04-20T00:00:00"/>
    <s v="INR"/>
    <n v="483325.64"/>
    <d v="2026-05-30T00:00:00"/>
    <d v="2026-04-23T00:00:00"/>
    <d v="2026-06-19T00:00:00"/>
    <n v="10044"/>
    <d v="2026-04-20T00:00:00"/>
    <m/>
    <m/>
    <s v="Tower- GBT- Elite 403 STR - 3L TBLR 40M"/>
    <n v="434993.076"/>
    <n v="7.6999999999999999E-2"/>
    <n v="57"/>
    <n v="5231"/>
    <n v="429762.076"/>
    <m/>
    <m/>
    <m/>
    <m/>
    <m/>
    <m/>
    <n v="274516674.36000001"/>
  </r>
  <r>
    <n v="5"/>
    <n v="39"/>
    <s v="FABIND9INRDZI"/>
    <x v="1"/>
    <s v="I"/>
    <s v="FI2627000120"/>
    <d v="2026-04-20T00:00:00"/>
    <s v="INR"/>
    <n v="483325.64"/>
    <d v="2026-05-30T00:00:00"/>
    <d v="2026-04-23T00:00:00"/>
    <d v="2026-06-19T00:00:00"/>
    <n v="10045"/>
    <d v="2026-04-20T00:00:00"/>
    <m/>
    <m/>
    <s v="Tower- GBT- Elite 403 STR - 3L TBLR 40M"/>
    <n v="434993.076"/>
    <n v="7.6999999999999999E-2"/>
    <n v="57"/>
    <n v="5231"/>
    <n v="429762.076"/>
    <m/>
    <m/>
    <m/>
    <m/>
    <m/>
    <m/>
    <n v="274516674.36000001"/>
  </r>
  <r>
    <n v="5"/>
    <n v="40"/>
    <s v="FABIND9INRDZI"/>
    <x v="1"/>
    <s v="I"/>
    <s v="FI2627000121"/>
    <d v="2026-04-20T00:00:00"/>
    <s v="INR"/>
    <n v="483325.64"/>
    <d v="2026-05-30T00:00:00"/>
    <d v="2026-04-23T00:00:00"/>
    <d v="2026-06-19T00:00:00"/>
    <n v="10046"/>
    <d v="2026-04-20T00:00:00"/>
    <m/>
    <m/>
    <s v="Tower- GBT- Elite 403 STR - 3L TBLR 40M"/>
    <n v="434993.076"/>
    <n v="7.6999999999999999E-2"/>
    <n v="57"/>
    <n v="5231"/>
    <n v="429762.076"/>
    <m/>
    <m/>
    <m/>
    <m/>
    <m/>
    <m/>
    <n v="274516674.36000001"/>
  </r>
  <r>
    <n v="5"/>
    <n v="41"/>
    <s v="FABIND9INRDZI"/>
    <x v="1"/>
    <s v="I"/>
    <s v="FI2627000122"/>
    <d v="2026-04-20T00:00:00"/>
    <s v="INR"/>
    <n v="483325.64"/>
    <d v="2026-05-30T00:00:00"/>
    <d v="2026-04-23T00:00:00"/>
    <d v="2026-06-19T00:00:00"/>
    <n v="801"/>
    <d v="2026-04-20T00:00:00"/>
    <m/>
    <m/>
    <s v="Tower- GBT- Elite 403 STR - 3L TBLR 40M"/>
    <n v="434993.076"/>
    <n v="7.6999999999999999E-2"/>
    <n v="57"/>
    <n v="5231"/>
    <n v="429762.076"/>
    <m/>
    <m/>
    <m/>
    <m/>
    <m/>
    <m/>
    <n v="274516674.36000001"/>
  </r>
  <r>
    <n v="5"/>
    <n v="42"/>
    <s v="FABIND9INRDZI"/>
    <x v="1"/>
    <s v="I"/>
    <s v="FI2627000127"/>
    <d v="2026-04-20T00:00:00"/>
    <s v="INR"/>
    <n v="1006923.5"/>
    <d v="2026-05-30T00:00:00"/>
    <d v="2026-04-23T00:00:00"/>
    <d v="2026-06-19T00:00:00"/>
    <n v="78158"/>
    <d v="2026-04-20T00:00:00"/>
    <m/>
    <m/>
    <s v="CIP - GBT - Elite 403 STR - 3L 170KMPH"/>
    <n v="906231.15"/>
    <n v="7.6999999999999999E-2"/>
    <n v="57"/>
    <n v="10897"/>
    <n v="895334.15"/>
    <m/>
    <m/>
    <m/>
    <m/>
    <m/>
    <m/>
    <n v="273993076.5"/>
  </r>
  <r>
    <n v="5"/>
    <n v="43"/>
    <s v="FABIND9INRDZI"/>
    <x v="1"/>
    <s v="I"/>
    <s v="FI2627000128"/>
    <d v="2026-04-20T00:00:00"/>
    <s v="INR"/>
    <n v="671243"/>
    <d v="2026-05-30T00:00:00"/>
    <d v="2026-04-23T00:00:00"/>
    <d v="2026-06-19T00:00:00"/>
    <n v="10047"/>
    <d v="2026-04-20T00:00:00"/>
    <m/>
    <m/>
    <s v="12A - Tower GBT-3 Leg TBLR 40M 170 KMPH"/>
    <n v="604118.70000000007"/>
    <n v="7.6999999999999999E-2"/>
    <n v="57"/>
    <n v="7264"/>
    <n v="596854.70000000007"/>
    <m/>
    <m/>
    <m/>
    <m/>
    <m/>
    <m/>
    <n v="274328757"/>
  </r>
  <r>
    <n v="5"/>
    <n v="44"/>
    <s v="FABIND9INRDZI"/>
    <x v="1"/>
    <s v="I"/>
    <s v="FI2627000134"/>
    <d v="2026-04-21T00:00:00"/>
    <s v="INR"/>
    <n v="481668.92"/>
    <d v="2026-05-31T00:00:00"/>
    <d v="2026-04-23T00:00:00"/>
    <d v="2026-06-20T00:00:00"/>
    <n v="10049"/>
    <d v="2026-04-21T00:00:00"/>
    <m/>
    <m/>
    <s v="TOWER GBT 3Legged VM 30M 170KMPH"/>
    <n v="433502.02799999999"/>
    <n v="7.6999999999999999E-2"/>
    <n v="58"/>
    <n v="5304"/>
    <n v="428198.02799999999"/>
    <m/>
    <m/>
    <m/>
    <m/>
    <m/>
    <m/>
    <n v="274518331.07999998"/>
  </r>
  <r>
    <n v="5"/>
    <n v="45"/>
    <s v="FABIND9INRDZI"/>
    <x v="1"/>
    <s v="I"/>
    <s v="FI2627000135"/>
    <d v="2026-04-21T00:00:00"/>
    <s v="INR"/>
    <n v="506008.78"/>
    <d v="2026-05-31T00:00:00"/>
    <d v="2026-04-23T00:00:00"/>
    <d v="2026-06-20T00:00:00"/>
    <n v="10050"/>
    <d v="2026-04-21T00:00:00"/>
    <m/>
    <m/>
    <s v="Tower- GBT- Elite 403 STR - 3L TBLR 40M"/>
    <n v="455407.90200000006"/>
    <n v="7.6999999999999999E-2"/>
    <n v="58"/>
    <n v="5572"/>
    <n v="449835.90200000006"/>
    <m/>
    <m/>
    <m/>
    <m/>
    <m/>
    <m/>
    <n v="274493991.22000003"/>
  </r>
  <r>
    <n v="5"/>
    <n v="46"/>
    <s v="FABIND9INRDZI"/>
    <x v="1"/>
    <s v="I"/>
    <s v="FI2627000136"/>
    <d v="2026-04-21T00:00:00"/>
    <s v="INR"/>
    <n v="506008.78"/>
    <d v="2026-05-31T00:00:00"/>
    <d v="2026-04-23T00:00:00"/>
    <d v="2026-06-20T00:00:00"/>
    <n v="78519"/>
    <d v="2026-04-21T00:00:00"/>
    <m/>
    <m/>
    <s v="Tower- GBT- Elite 403 STR - 3L TBLR 40M"/>
    <n v="455407.90200000006"/>
    <n v="7.6999999999999999E-2"/>
    <n v="58"/>
    <n v="5572"/>
    <n v="449835.90200000006"/>
    <m/>
    <m/>
    <m/>
    <m/>
    <m/>
    <m/>
    <n v="274493991.22000003"/>
  </r>
  <r>
    <n v="5"/>
    <n v="47"/>
    <s v="FABIND9INRDZI"/>
    <x v="1"/>
    <s v="I"/>
    <s v="FI2627000137"/>
    <d v="2026-04-21T00:00:00"/>
    <s v="INR"/>
    <n v="506008.78"/>
    <d v="2026-05-31T00:00:00"/>
    <d v="2026-04-23T00:00:00"/>
    <d v="2026-06-20T00:00:00"/>
    <n v="78520"/>
    <d v="2026-04-21T00:00:00"/>
    <m/>
    <m/>
    <s v="Tower- GBT- Elite 403 STR - 3L TBLR 40M"/>
    <n v="455407.90200000006"/>
    <n v="7.6999999999999999E-2"/>
    <n v="58"/>
    <n v="5572"/>
    <n v="449835.90200000006"/>
    <m/>
    <m/>
    <m/>
    <m/>
    <m/>
    <m/>
    <n v="274493991.22000003"/>
  </r>
  <r>
    <n v="5"/>
    <n v="48"/>
    <s v="FABIND9INRDZI"/>
    <x v="1"/>
    <s v="I"/>
    <s v="FI2627000139"/>
    <d v="2026-04-21T00:00:00"/>
    <s v="INR"/>
    <n v="506008.78"/>
    <d v="2026-05-31T00:00:00"/>
    <d v="2026-04-23T00:00:00"/>
    <d v="2026-06-20T00:00:00"/>
    <n v="78521"/>
    <d v="2026-04-21T00:00:00"/>
    <m/>
    <m/>
    <s v="Tower- GBT- Elite 403 STR - 3L TBLR 40M"/>
    <n v="455407.90200000006"/>
    <n v="7.6999999999999999E-2"/>
    <n v="58"/>
    <n v="5572"/>
    <n v="449835.90200000006"/>
    <m/>
    <m/>
    <m/>
    <m/>
    <m/>
    <m/>
    <n v="274493991.22000003"/>
  </r>
  <r>
    <n v="5"/>
    <n v="49"/>
    <s v="FABIND9INRDZI"/>
    <x v="1"/>
    <s v="I"/>
    <s v="FI2627000140"/>
    <d v="2026-04-21T00:00:00"/>
    <s v="INR"/>
    <n v="506008.78"/>
    <d v="2026-05-31T00:00:00"/>
    <d v="2026-04-23T00:00:00"/>
    <d v="2026-06-20T00:00:00"/>
    <n v="10051"/>
    <d v="2026-04-21T00:00:00"/>
    <m/>
    <m/>
    <s v="Tower- GBT- Elite 403 STR - 3L TBLR 40M"/>
    <n v="455407.90200000006"/>
    <n v="7.6999999999999999E-2"/>
    <n v="58"/>
    <n v="5572"/>
    <n v="449835.90200000006"/>
    <m/>
    <m/>
    <m/>
    <m/>
    <m/>
    <m/>
    <n v="274493991.22000003"/>
  </r>
  <r>
    <n v="5"/>
    <n v="50"/>
    <s v="FABIND9INRDZI"/>
    <x v="1"/>
    <s v="I"/>
    <s v="FI2627000148"/>
    <d v="2026-04-21T00:00:00"/>
    <s v="INR"/>
    <n v="506008.78"/>
    <d v="2026-05-31T00:00:00"/>
    <d v="2026-04-23T00:00:00"/>
    <d v="2026-06-20T00:00:00"/>
    <n v="78522"/>
    <d v="2026-04-21T00:00:00"/>
    <m/>
    <m/>
    <s v="Tower- GBT- Elite 403 STR - 3L TBLR 40M"/>
    <n v="455407.90200000006"/>
    <n v="7.6999999999999999E-2"/>
    <n v="58"/>
    <n v="5572"/>
    <n v="449835.90200000006"/>
    <m/>
    <m/>
    <m/>
    <m/>
    <m/>
    <m/>
    <n v="274493991.22000003"/>
  </r>
  <r>
    <n v="6"/>
    <n v="51"/>
    <s v="FABIND9INRDZI"/>
    <x v="1"/>
    <s v="I"/>
    <s v="FI2627000151"/>
    <d v="2026-04-22T00:00:00"/>
    <s v="INR"/>
    <n v="873873.78"/>
    <d v="2026-06-01T00:00:00"/>
    <d v="2026-04-23T00:00:00"/>
    <d v="2026-06-21T00:00:00"/>
    <n v="25333"/>
    <d v="2026-04-22T00:00:00"/>
    <m/>
    <m/>
    <s v="SLIP JOINT MONOPOLE-30M (INDUS)"/>
    <n v="786486.402"/>
    <n v="7.6999999999999999E-2"/>
    <n v="59"/>
    <n v="9789"/>
    <n v="776697.402"/>
    <m/>
    <m/>
    <m/>
    <m/>
    <m/>
    <m/>
    <n v="274126126.22000003"/>
  </r>
  <r>
    <n v="6"/>
    <n v="52"/>
    <s v="FABIND9INRDZI"/>
    <x v="1"/>
    <s v="I"/>
    <s v="FI2627000152"/>
    <d v="2026-04-22T00:00:00"/>
    <s v="INR"/>
    <n v="483325.64"/>
    <d v="2026-06-01T00:00:00"/>
    <d v="2026-04-23T00:00:00"/>
    <d v="2026-06-21T00:00:00"/>
    <n v="10054"/>
    <d v="2026-04-22T00:00:00"/>
    <m/>
    <m/>
    <s v="Tower- GBT- Elite 403 STR - 3L TBLR 40M"/>
    <n v="434993.076"/>
    <n v="7.6999999999999999E-2"/>
    <n v="59"/>
    <n v="5414"/>
    <n v="429579.076"/>
    <m/>
    <m/>
    <m/>
    <m/>
    <m/>
    <m/>
    <n v="274516674.36000001"/>
  </r>
  <r>
    <n v="6"/>
    <n v="53"/>
    <s v="FABIND9INRDZI"/>
    <x v="1"/>
    <s v="I"/>
    <s v="FI2627000153"/>
    <d v="2026-04-22T00:00:00"/>
    <s v="INR"/>
    <n v="483325.64"/>
    <d v="2026-06-01T00:00:00"/>
    <d v="2026-04-23T00:00:00"/>
    <d v="2026-06-21T00:00:00"/>
    <n v="10053"/>
    <d v="2026-04-22T00:00:00"/>
    <m/>
    <m/>
    <s v="Tower- GBT- Elite 403 STR - 3L TBLR 40M"/>
    <n v="434993.076"/>
    <n v="7.6999999999999999E-2"/>
    <n v="59"/>
    <n v="5414"/>
    <n v="429579.076"/>
    <m/>
    <m/>
    <m/>
    <m/>
    <m/>
    <m/>
    <n v="274516674.36000001"/>
  </r>
  <r>
    <n v="6"/>
    <n v="54"/>
    <s v="FABIND9INRDZI"/>
    <x v="1"/>
    <s v="I"/>
    <s v="FI2627000156"/>
    <d v="2026-04-22T00:00:00"/>
    <s v="INR"/>
    <n v="483325.64"/>
    <d v="2026-06-01T00:00:00"/>
    <d v="2026-04-23T00:00:00"/>
    <d v="2026-06-21T00:00:00"/>
    <n v="21129"/>
    <d v="2026-04-22T00:00:00"/>
    <m/>
    <m/>
    <s v="Tower- GBT- Elite 403 STR - 3L TBLR 40M"/>
    <n v="434993.076"/>
    <n v="7.6999999999999999E-2"/>
    <n v="59"/>
    <n v="5414"/>
    <n v="429579.076"/>
    <m/>
    <m/>
    <m/>
    <m/>
    <m/>
    <m/>
    <n v="274516674.36000001"/>
  </r>
  <r>
    <n v="7"/>
    <n v="55"/>
    <s v="FABIND9INRDZI"/>
    <x v="1"/>
    <s v="I"/>
    <s v="FI2627000168"/>
    <d v="2026-04-23T00:00:00"/>
    <s v="INR"/>
    <n v="455946.1"/>
    <d v="2026-06-02T00:00:00"/>
    <d v="2026-04-23T00:00:00"/>
    <d v="2026-06-22T00:00:00"/>
    <s v="11527"/>
    <d v="2026-04-23T00:00:00"/>
    <m/>
    <m/>
    <s v="Tower- GBT- Elite-402 - 3L TBLR 40M 140"/>
    <n v="410351.49"/>
    <n v="7.6999999999999999E-2"/>
    <n v="60"/>
    <n v="5194"/>
    <n v="405157.49"/>
    <m/>
    <m/>
    <m/>
    <m/>
    <m/>
    <m/>
    <n v="274544053.89999998"/>
  </r>
  <r>
    <n v="7"/>
    <n v="56"/>
    <s v="FABIND9INRDZI"/>
    <x v="1"/>
    <s v="I"/>
    <s v="FI2627000169"/>
    <d v="2026-04-23T00:00:00"/>
    <s v="INR"/>
    <n v="483325.64"/>
    <d v="2026-06-02T00:00:00"/>
    <d v="2026-04-23T00:00:00"/>
    <d v="2026-06-22T00:00:00"/>
    <s v="11528"/>
    <d v="2026-04-23T00:00:00"/>
    <m/>
    <m/>
    <s v="Tower- GBT- Elite 403 STR - 3L TBLR 40M"/>
    <n v="434993.076"/>
    <n v="7.6999999999999999E-2"/>
    <n v="60"/>
    <n v="5506"/>
    <n v="429487.076"/>
    <m/>
    <m/>
    <m/>
    <m/>
    <m/>
    <m/>
    <n v="274516674.36000001"/>
  </r>
  <r>
    <n v="8"/>
    <n v="57"/>
    <s v="FABIND9INRDZI"/>
    <x v="1"/>
    <s v="I"/>
    <s v="FI2627000176"/>
    <d v="2026-04-24T00:00:00"/>
    <s v="INR"/>
    <n v="684578.18"/>
    <d v="2026-06-03T00:00:00"/>
    <d v="2026-04-24T00:00:00"/>
    <d v="2026-06-23T00:00:00"/>
    <s v="10061"/>
    <d v="2026-04-24T00:00:00"/>
    <m/>
    <m/>
    <s v="TowerGBT-3 Leg Tubular VT30M 200 KMPH"/>
    <n v="616120.36200000008"/>
    <n v="7.6999999999999999E-2"/>
    <n v="60"/>
    <n v="7799"/>
    <n v="608321.36200000008"/>
    <m/>
    <m/>
    <m/>
    <m/>
    <m/>
    <m/>
    <n v="274315421.81999999"/>
  </r>
  <r>
    <n v="8"/>
    <n v="58"/>
    <s v="FABIND9INRDZI"/>
    <x v="1"/>
    <s v="I"/>
    <s v="FI2627000177"/>
    <d v="2026-04-24T00:00:00"/>
    <s v="INR"/>
    <n v="75263.94"/>
    <d v="2026-06-03T00:00:00"/>
    <d v="2026-04-24T00:00:00"/>
    <d v="2026-06-23T00:00:00"/>
    <s v="10062"/>
    <d v="2026-04-24T00:00:00"/>
    <m/>
    <m/>
    <s v="Cast In part GBT-3L TBLR VT30M 200KMPH"/>
    <n v="67737.546000000002"/>
    <n v="7.6999999999999999E-2"/>
    <n v="60"/>
    <n v="857"/>
    <n v="66880.546000000002"/>
    <m/>
    <m/>
    <m/>
    <m/>
    <m/>
    <m/>
    <n v="274924736.06"/>
  </r>
  <r>
    <n v="8"/>
    <n v="59"/>
    <s v="FABIND9INRDZI"/>
    <x v="1"/>
    <s v="I"/>
    <s v="FI2627000178"/>
    <d v="2026-04-24T00:00:00"/>
    <s v="INR"/>
    <n v="684578.18"/>
    <d v="2026-06-03T00:00:00"/>
    <d v="2026-04-24T00:00:00"/>
    <d v="2026-06-23T00:00:00"/>
    <s v="10063"/>
    <d v="2026-04-24T00:00:00"/>
    <m/>
    <m/>
    <s v="TowerGBT-3 Leg Tubular VT30M 200 KMPH"/>
    <n v="616120.36200000008"/>
    <n v="7.6999999999999999E-2"/>
    <n v="60"/>
    <n v="7799"/>
    <n v="608321.36200000008"/>
    <m/>
    <m/>
    <m/>
    <m/>
    <m/>
    <m/>
    <n v="274315421.81999999"/>
  </r>
  <r>
    <n v="8"/>
    <n v="60"/>
    <s v="FABIND9INRDZI"/>
    <x v="1"/>
    <s v="I"/>
    <s v="FI2627000179"/>
    <d v="2026-04-24T00:00:00"/>
    <s v="INR"/>
    <n v="75263.94"/>
    <d v="2026-06-03T00:00:00"/>
    <d v="2026-04-24T00:00:00"/>
    <d v="2026-06-23T00:00:00"/>
    <s v="10064"/>
    <d v="2026-04-24T00:00:00"/>
    <m/>
    <m/>
    <s v="Cast In part GBT-3L TBLR VT30M 200KMPH"/>
    <n v="67737.546000000002"/>
    <n v="7.6999999999999999E-2"/>
    <n v="60"/>
    <n v="857"/>
    <n v="66880.546000000002"/>
    <m/>
    <m/>
    <m/>
    <m/>
    <m/>
    <m/>
    <n v="274924736.06"/>
  </r>
  <r>
    <n v="8"/>
    <n v="61"/>
    <s v="FABIND9INRDZI"/>
    <x v="1"/>
    <s v="I"/>
    <s v="FI2627000182"/>
    <d v="2026-04-24T00:00:00"/>
    <s v="INR"/>
    <n v="574467.66"/>
    <d v="2026-06-03T00:00:00"/>
    <d v="2026-04-24T00:00:00"/>
    <d v="2026-06-23T00:00:00"/>
    <s v="806"/>
    <d v="2026-04-24T00:00:00"/>
    <m/>
    <m/>
    <s v="NBT 40Mtr Tower"/>
    <n v="517020.89400000003"/>
    <n v="7.6999999999999999E-2"/>
    <n v="60"/>
    <n v="6544"/>
    <n v="510476.89400000003"/>
    <m/>
    <m/>
    <m/>
    <m/>
    <m/>
    <m/>
    <n v="274425532.33999997"/>
  </r>
  <r>
    <n v="8"/>
    <n v="62"/>
    <s v="FABIND9INRDZI"/>
    <x v="1"/>
    <s v="I"/>
    <s v="FI2627000183"/>
    <d v="2026-04-24T00:00:00"/>
    <s v="INR"/>
    <n v="574467.66"/>
    <d v="2026-06-03T00:00:00"/>
    <d v="2026-04-24T00:00:00"/>
    <d v="2026-06-23T00:00:00"/>
    <s v="805"/>
    <d v="2026-04-24T00:00:00"/>
    <m/>
    <m/>
    <s v="NBT 40Mtr Tower"/>
    <n v="517020.89400000003"/>
    <n v="7.6999999999999999E-2"/>
    <n v="60"/>
    <n v="6544"/>
    <n v="510476.89400000003"/>
    <m/>
    <m/>
    <m/>
    <m/>
    <m/>
    <m/>
    <n v="274425532.33999997"/>
  </r>
  <r>
    <n v="8"/>
    <n v="63"/>
    <s v="FABIND9INRDZI"/>
    <x v="1"/>
    <s v="I"/>
    <s v="FI2627000184"/>
    <d v="2026-04-24T00:00:00"/>
    <s v="INR"/>
    <n v="574467.66"/>
    <d v="2026-06-03T00:00:00"/>
    <d v="2026-04-24T00:00:00"/>
    <d v="2026-06-23T00:00:00"/>
    <s v="807"/>
    <d v="2026-04-24T00:00:00"/>
    <m/>
    <m/>
    <s v="NBT 40Mtr Tower"/>
    <n v="517020.89400000003"/>
    <n v="7.6999999999999999E-2"/>
    <n v="60"/>
    <n v="6544"/>
    <n v="510476.89400000003"/>
    <m/>
    <m/>
    <m/>
    <m/>
    <m/>
    <m/>
    <n v="274425532.33999997"/>
  </r>
  <r>
    <n v="8"/>
    <n v="64"/>
    <s v="FABIND9INRDZI"/>
    <x v="1"/>
    <s v="I"/>
    <s v="FI2627000185"/>
    <d v="2026-04-24T00:00:00"/>
    <s v="INR"/>
    <n v="574467.66"/>
    <d v="2026-06-03T00:00:00"/>
    <d v="2026-04-24T00:00:00"/>
    <d v="2026-06-23T00:00:00"/>
    <s v="10066"/>
    <d v="2026-04-24T00:00:00"/>
    <m/>
    <m/>
    <s v="NBT 40Mtr Tower"/>
    <n v="517020.89400000003"/>
    <n v="7.6999999999999999E-2"/>
    <n v="60"/>
    <n v="6544"/>
    <n v="510476.89400000003"/>
    <m/>
    <m/>
    <m/>
    <m/>
    <m/>
    <m/>
    <n v="274425532.33999997"/>
  </r>
  <r>
    <n v="8"/>
    <n v="65"/>
    <s v="FABIND9INRDZI"/>
    <x v="1"/>
    <s v="I"/>
    <s v="FI2627000186"/>
    <d v="2026-04-24T00:00:00"/>
    <s v="INR"/>
    <n v="574467.66"/>
    <d v="2026-06-03T00:00:00"/>
    <d v="2026-04-24T00:00:00"/>
    <d v="2026-06-23T00:00:00"/>
    <s v="10067"/>
    <d v="2026-04-24T00:00:00"/>
    <m/>
    <m/>
    <s v="NBT 40Mtr Tower"/>
    <n v="517020.89400000003"/>
    <n v="7.6999999999999999E-2"/>
    <n v="60"/>
    <n v="6544"/>
    <n v="510476.89400000003"/>
    <m/>
    <m/>
    <m/>
    <m/>
    <m/>
    <m/>
    <n v="274425532.33999997"/>
  </r>
  <r>
    <n v="8"/>
    <n v="66"/>
    <s v="FABIND9INRDZI"/>
    <x v="1"/>
    <s v="I"/>
    <s v="FI2627000188"/>
    <d v="2026-04-24T00:00:00"/>
    <s v="INR"/>
    <n v="481668.92"/>
    <d v="2026-06-03T00:00:00"/>
    <d v="2026-04-24T00:00:00"/>
    <d v="2026-06-23T00:00:00"/>
    <s v="11529"/>
    <d v="2026-04-24T00:00:00"/>
    <m/>
    <m/>
    <s v="TOWER GBT 3Legged VM 30M 170KMPH"/>
    <n v="433502.02799999999"/>
    <n v="7.6999999999999999E-2"/>
    <n v="60"/>
    <n v="5487"/>
    <n v="428015.02799999999"/>
    <m/>
    <m/>
    <m/>
    <m/>
    <m/>
    <m/>
    <n v="274518331.07999998"/>
  </r>
  <r>
    <n v="9"/>
    <n v="67"/>
    <s v="FABIND9INRDZI"/>
    <x v="1"/>
    <s v="I"/>
    <s v="FI2627000196"/>
    <d v="2026-04-26T00:00:00"/>
    <s v="INR"/>
    <n v="574467.66"/>
    <d v="2026-06-05T00:00:00"/>
    <d v="2026-04-27T00:00:00"/>
    <d v="2026-06-25T00:00:00"/>
    <s v="78526"/>
    <d v="2026-04-26T00:00:00"/>
    <m/>
    <m/>
    <s v="NBT 40Mtr Tower"/>
    <n v="517020.89400000003"/>
    <n v="7.6999999999999999E-2"/>
    <n v="59"/>
    <n v="6435"/>
    <n v="510585.89400000003"/>
    <m/>
    <m/>
    <m/>
    <m/>
    <m/>
    <m/>
    <n v="274425532.33999997"/>
  </r>
  <r>
    <n v="9"/>
    <n v="68"/>
    <s v="FABIND9INRDZI"/>
    <x v="1"/>
    <s v="I"/>
    <s v="FI2627000197"/>
    <d v="2026-04-26T00:00:00"/>
    <s v="INR"/>
    <n v="574467.66"/>
    <d v="2026-06-05T00:00:00"/>
    <d v="2026-04-27T00:00:00"/>
    <d v="2026-06-25T00:00:00"/>
    <s v="10070"/>
    <d v="2026-04-26T00:00:00"/>
    <m/>
    <m/>
    <s v="NBT 40Mtr Tower"/>
    <n v="517020.89400000003"/>
    <n v="7.6999999999999999E-2"/>
    <n v="59"/>
    <n v="6435"/>
    <n v="510585.89400000003"/>
    <m/>
    <m/>
    <m/>
    <m/>
    <m/>
    <m/>
    <n v="274425532.33999997"/>
  </r>
  <r>
    <n v="9"/>
    <n v="69"/>
    <s v="FABIND9INRDZI"/>
    <x v="1"/>
    <s v="I"/>
    <s v="FI2627000198"/>
    <d v="2026-04-26T00:00:00"/>
    <s v="INR"/>
    <n v="574467.66"/>
    <d v="2026-06-05T00:00:00"/>
    <d v="2026-04-27T00:00:00"/>
    <d v="2026-06-25T00:00:00"/>
    <s v="810"/>
    <d v="2026-04-26T00:00:00"/>
    <m/>
    <m/>
    <s v="NBT 40Mtr Tower"/>
    <n v="517020.89400000003"/>
    <n v="7.6999999999999999E-2"/>
    <n v="59"/>
    <n v="6435"/>
    <n v="510585.89400000003"/>
    <m/>
    <m/>
    <m/>
    <m/>
    <m/>
    <m/>
    <n v="274425532.33999997"/>
  </r>
  <r>
    <n v="9"/>
    <n v="70"/>
    <s v="FABIND9INRDZI"/>
    <x v="1"/>
    <s v="I"/>
    <s v="FI2627000199"/>
    <d v="2026-04-26T00:00:00"/>
    <s v="INR"/>
    <n v="574467.66"/>
    <d v="2026-06-05T00:00:00"/>
    <d v="2026-04-27T00:00:00"/>
    <d v="2026-06-25T00:00:00"/>
    <s v="11530"/>
    <d v="2026-04-26T00:00:00"/>
    <m/>
    <m/>
    <s v="NBT 40Mtr Tower"/>
    <n v="517020.89400000003"/>
    <n v="7.6999999999999999E-2"/>
    <n v="59"/>
    <n v="6435"/>
    <n v="510585.89400000003"/>
    <m/>
    <m/>
    <m/>
    <m/>
    <m/>
    <m/>
    <n v="274425532.33999997"/>
  </r>
  <r>
    <n v="0"/>
    <n v="71"/>
    <s v="FABIND9INRDZI"/>
    <x v="2"/>
    <s v="I"/>
    <s v="FI2526009378"/>
    <d v="2026-03-12T00:00:00"/>
    <s v="INR"/>
    <n v="764307.41"/>
    <d v="2026-04-25T00:00:00"/>
    <d v="2026-04-23T00:00:00"/>
    <d v="2026-05-15T00:00:00"/>
    <m/>
    <d v="2026-03-12T00:00:00"/>
    <m/>
    <m/>
    <m/>
    <n v="687876.66899999999"/>
    <n v="7.6999999999999999E-2"/>
    <n v="22"/>
    <n v="3193"/>
    <n v="684683.66899999999"/>
    <m/>
    <m/>
    <m/>
    <m/>
    <m/>
    <m/>
    <n v="219235692.59"/>
  </r>
  <r>
    <n v="1"/>
    <n v="72"/>
    <s v="FABIND9INRDZI"/>
    <x v="2"/>
    <s v="I"/>
    <s v="FI2627000094"/>
    <d v="2026-04-16T00:00:00"/>
    <s v="INR"/>
    <n v="822460"/>
    <d v="2026-05-30T00:00:00"/>
    <d v="2026-04-20T00:00:00"/>
    <d v="2026-06-19T00:00:00"/>
    <n v="2000146043"/>
    <d v="2026-04-16T00:00:00"/>
    <m/>
    <m/>
    <s v="CIP for 12/18 Panel Structure_New Design"/>
    <n v="740214"/>
    <n v="7.6999999999999999E-2"/>
    <n v="60"/>
    <n v="9369"/>
    <n v="730845"/>
    <m/>
    <m/>
    <m/>
    <m/>
    <m/>
    <m/>
    <n v="219177540"/>
  </r>
  <r>
    <n v="1"/>
    <n v="73"/>
    <s v="FABIND9INRDZI"/>
    <x v="2"/>
    <s v="I"/>
    <s v="FI2627000107"/>
    <d v="2026-04-19T00:00:00"/>
    <s v="INR"/>
    <n v="822460"/>
    <d v="2026-06-02T00:00:00"/>
    <d v="2026-04-20T00:00:00"/>
    <d v="2026-06-22T00:00:00"/>
    <n v="2000146110"/>
    <d v="2026-04-19T00:00:00"/>
    <m/>
    <m/>
    <s v="CIP for 12/18 Panel Structure_New Design"/>
    <n v="740214"/>
    <n v="7.6999999999999999E-2"/>
    <n v="63"/>
    <n v="9838"/>
    <n v="730376"/>
    <m/>
    <m/>
    <m/>
    <m/>
    <m/>
    <m/>
    <n v="219177540"/>
  </r>
  <r>
    <n v="2"/>
    <n v="74"/>
    <s v="FABIND9INRDZI"/>
    <x v="2"/>
    <s v="I"/>
    <s v="FI2627000123"/>
    <d v="2026-04-20T00:00:00"/>
    <s v="INR"/>
    <n v="766484.34"/>
    <d v="2026-06-03T00:00:00"/>
    <d v="2026-04-23T00:00:00"/>
    <d v="2026-06-23T00:00:00"/>
    <n v="2000146126"/>
    <d v="2026-04-20T00:00:00"/>
    <m/>
    <m/>
    <s v="TOWER12A TUBULR3 LEG W PLT &amp; FNCE-FAB"/>
    <n v="689835.90599999996"/>
    <n v="7.6999999999999999E-2"/>
    <n v="61"/>
    <n v="8877"/>
    <n v="680958.90599999996"/>
    <m/>
    <m/>
    <m/>
    <m/>
    <m/>
    <m/>
    <n v="219233515.66"/>
  </r>
  <r>
    <n v="2"/>
    <n v="75"/>
    <s v="FABIND9INRDZI"/>
    <x v="2"/>
    <s v="I"/>
    <s v="FI2627000124"/>
    <d v="2026-04-20T00:00:00"/>
    <s v="INR"/>
    <n v="766484.34"/>
    <d v="2026-06-03T00:00:00"/>
    <d v="2026-04-23T00:00:00"/>
    <d v="2026-06-23T00:00:00"/>
    <n v="2000146129"/>
    <d v="2026-04-20T00:00:00"/>
    <m/>
    <m/>
    <s v="TOWER12A TUBULR3 LEG W PLT &amp; FNCE-FAB"/>
    <n v="689835.90599999996"/>
    <n v="7.6999999999999999E-2"/>
    <n v="61"/>
    <n v="8877"/>
    <n v="680958.90599999996"/>
    <m/>
    <m/>
    <m/>
    <m/>
    <m/>
    <m/>
    <n v="219233515.66"/>
  </r>
  <r>
    <n v="2"/>
    <n v="76"/>
    <s v="FABIND9INRDZI"/>
    <x v="2"/>
    <s v="I"/>
    <s v="FI2627000125"/>
    <d v="2026-04-20T00:00:00"/>
    <s v="INR"/>
    <n v="766484.34"/>
    <d v="2026-06-03T00:00:00"/>
    <d v="2026-04-23T00:00:00"/>
    <d v="2026-06-23T00:00:00"/>
    <n v="2000146130"/>
    <d v="2026-04-20T00:00:00"/>
    <m/>
    <m/>
    <s v="TOWER12A TUBULR3 LEG W PLT &amp; FNCE-FAB"/>
    <n v="689835.90599999996"/>
    <n v="7.6999999999999999E-2"/>
    <n v="61"/>
    <n v="8877"/>
    <n v="680958.90599999996"/>
    <m/>
    <m/>
    <m/>
    <m/>
    <m/>
    <m/>
    <n v="219233515.66"/>
  </r>
  <r>
    <n v="2"/>
    <n v="77"/>
    <s v="FABIND9INRDZI"/>
    <x v="2"/>
    <s v="I"/>
    <s v="FI2627000126"/>
    <d v="2026-04-20T00:00:00"/>
    <s v="INR"/>
    <n v="766484.34"/>
    <d v="2026-06-03T00:00:00"/>
    <d v="2026-04-23T00:00:00"/>
    <d v="2026-06-23T00:00:00"/>
    <n v="2000146128"/>
    <d v="2026-04-20T00:00:00"/>
    <m/>
    <m/>
    <s v="TOWER12A TUBULR3 LEG W PLT &amp; FNCE-FAB"/>
    <n v="689835.90599999996"/>
    <n v="7.6999999999999999E-2"/>
    <n v="61"/>
    <n v="8877"/>
    <n v="680958.90599999996"/>
    <m/>
    <m/>
    <m/>
    <m/>
    <m/>
    <m/>
    <n v="219233515.66"/>
  </r>
  <r>
    <n v="2"/>
    <n v="78"/>
    <s v="FABIND9INRDZI"/>
    <x v="2"/>
    <s v="I"/>
    <s v="FI2627000143"/>
    <d v="2026-04-21T00:00:00"/>
    <s v="INR"/>
    <n v="822460"/>
    <d v="2026-06-04T00:00:00"/>
    <d v="2026-04-23T00:00:00"/>
    <d v="2026-06-24T00:00:00"/>
    <n v="2000146147"/>
    <d v="2026-04-21T00:00:00"/>
    <m/>
    <m/>
    <s v="CIP for 12/18 Panel Structure_New Design"/>
    <n v="740214"/>
    <n v="7.6999999999999999E-2"/>
    <n v="62"/>
    <n v="9682"/>
    <n v="730532"/>
    <m/>
    <m/>
    <m/>
    <m/>
    <m/>
    <m/>
    <n v="219177540"/>
  </r>
  <r>
    <n v="2"/>
    <n v="79"/>
    <s v="FABIND9INRDZI"/>
    <x v="2"/>
    <s v="I"/>
    <s v="FI2627000146"/>
    <d v="2026-04-21T00:00:00"/>
    <s v="INR"/>
    <n v="822460"/>
    <d v="2026-06-04T00:00:00"/>
    <d v="2026-04-23T00:00:00"/>
    <d v="2026-06-24T00:00:00"/>
    <n v="2000146148"/>
    <d v="2026-04-21T00:00:00"/>
    <m/>
    <m/>
    <s v="CIP for 12/18 Panel Structure_New Design"/>
    <n v="740214"/>
    <n v="7.6999999999999999E-2"/>
    <n v="62"/>
    <n v="9682"/>
    <n v="730532"/>
    <m/>
    <m/>
    <m/>
    <m/>
    <m/>
    <m/>
    <n v="219177540"/>
  </r>
  <r>
    <n v="3"/>
    <n v="80"/>
    <s v="FABIND9INRDZI"/>
    <x v="2"/>
    <s v="I"/>
    <s v="FI2627000154"/>
    <d v="2026-04-22T00:00:00"/>
    <s v="INR"/>
    <n v="1069198"/>
    <d v="2026-06-05T00:00:00"/>
    <d v="2026-04-23T00:00:00"/>
    <d v="2026-06-25T00:00:00"/>
    <n v="2000146151"/>
    <d v="2026-04-22T00:00:00"/>
    <m/>
    <m/>
    <s v="TOWER12A TUBULR3 LEG W PLT &amp; FNCE-FAB"/>
    <n v="962278.20000000007"/>
    <n v="7.6999999999999999E-2"/>
    <n v="63"/>
    <n v="12789"/>
    <n v="949489.20000000007"/>
    <m/>
    <m/>
    <m/>
    <m/>
    <m/>
    <m/>
    <n v="218930802"/>
  </r>
  <r>
    <n v="4"/>
    <n v="81"/>
    <s v="FABIND9INRDZI"/>
    <x v="2"/>
    <s v="I"/>
    <s v="FI2627000164"/>
    <d v="2026-04-23T00:00:00"/>
    <s v="INR"/>
    <n v="916860"/>
    <d v="2026-06-06T00:00:00"/>
    <d v="2026-04-23T00:00:00"/>
    <d v="2026-06-26T00:00:00"/>
    <s v="2000146179"/>
    <d v="2026-04-23T00:00:00"/>
    <m/>
    <m/>
    <s v="GBM30MTRIBANDLOADING50M/S-FAB"/>
    <n v="825174"/>
    <n v="7.6999999999999999E-2"/>
    <n v="64"/>
    <n v="11141"/>
    <n v="814033"/>
    <m/>
    <m/>
    <m/>
    <m/>
    <m/>
    <m/>
    <n v="219083140"/>
  </r>
  <r>
    <n v="4"/>
    <n v="82"/>
    <s v="FABIND9INRDZI"/>
    <x v="2"/>
    <s v="I"/>
    <s v="FI2627000165"/>
    <d v="2026-04-23T00:00:00"/>
    <s v="INR"/>
    <n v="848001.1"/>
    <d v="2026-06-06T00:00:00"/>
    <d v="2026-04-23T00:00:00"/>
    <d v="2026-06-26T00:00:00"/>
    <s v="2000146180"/>
    <d v="2026-04-23T00:00:00"/>
    <m/>
    <m/>
    <s v="TUBULAR POLE 23M HIGH WS-50M/S"/>
    <n v="763200.99"/>
    <n v="7.6999999999999999E-2"/>
    <n v="64"/>
    <n v="10304"/>
    <n v="752896.99"/>
    <m/>
    <m/>
    <m/>
    <m/>
    <m/>
    <m/>
    <n v="219151998.90000001"/>
  </r>
  <r>
    <n v="4"/>
    <n v="83"/>
    <s v="FABIND9INRDZI"/>
    <x v="2"/>
    <s v="I"/>
    <s v="FI2627000170"/>
    <d v="2026-04-23T00:00:00"/>
    <s v="INR"/>
    <n v="766484.34"/>
    <d v="2026-06-06T00:00:00"/>
    <d v="2026-04-23T00:00:00"/>
    <d v="2026-06-26T00:00:00"/>
    <s v="2000146185"/>
    <d v="2026-04-23T00:00:00"/>
    <m/>
    <m/>
    <s v="TOWER12A TUBULR3 LEG W PLT &amp; FNCE-FAB"/>
    <n v="689835.90599999996"/>
    <n v="7.6999999999999999E-2"/>
    <n v="64"/>
    <n v="9314"/>
    <n v="680521.90599999996"/>
    <m/>
    <m/>
    <m/>
    <m/>
    <m/>
    <m/>
    <n v="219233515.66"/>
  </r>
  <r>
    <n v="4"/>
    <n v="84"/>
    <s v="FABIND9INRDZI"/>
    <x v="2"/>
    <s v="I"/>
    <s v="FI2627000171"/>
    <d v="2026-04-23T00:00:00"/>
    <s v="INR"/>
    <n v="766484.34"/>
    <d v="2026-06-06T00:00:00"/>
    <d v="2026-04-23T00:00:00"/>
    <d v="2026-06-26T00:00:00"/>
    <s v="2000146189"/>
    <d v="2026-04-23T00:00:00"/>
    <m/>
    <m/>
    <s v="TOWER12A TUBULR3 LEG W PLT &amp; FNCE-FAB"/>
    <n v="689835.90599999996"/>
    <n v="7.6999999999999999E-2"/>
    <n v="64"/>
    <n v="9314"/>
    <n v="680521.90599999996"/>
    <m/>
    <m/>
    <m/>
    <m/>
    <m/>
    <m/>
    <n v="219233515.66"/>
  </r>
  <r>
    <n v="4"/>
    <n v="85"/>
    <s v="FABIND9INRDZI"/>
    <x v="2"/>
    <s v="I"/>
    <s v="FI2627000175"/>
    <d v="2026-04-23T00:00:00"/>
    <s v="INR"/>
    <n v="766484.34"/>
    <d v="2026-06-06T00:00:00"/>
    <d v="2026-04-23T00:00:00"/>
    <d v="2026-06-26T00:00:00"/>
    <s v="2000146186"/>
    <d v="2026-04-23T00:00:00"/>
    <m/>
    <m/>
    <s v="TOWER12A TUBULR3 LEG W PLT &amp; FNCE-FAB"/>
    <n v="689835.90599999996"/>
    <n v="7.6999999999999999E-2"/>
    <n v="64"/>
    <n v="9314"/>
    <n v="680521.90599999996"/>
    <m/>
    <m/>
    <m/>
    <m/>
    <m/>
    <m/>
    <n v="219233515.66"/>
  </r>
  <r>
    <n v="5"/>
    <n v="86"/>
    <s v="FABIND9INRDZI"/>
    <x v="2"/>
    <s v="I"/>
    <s v="FI2627000181"/>
    <d v="2026-04-24T00:00:00"/>
    <s v="INR"/>
    <n v="766484.34"/>
    <d v="2026-06-07T00:00:00"/>
    <d v="2026-04-24T00:00:00"/>
    <d v="2026-06-27T00:00:00"/>
    <s v="2000146210"/>
    <d v="2026-04-24T00:00:00"/>
    <m/>
    <m/>
    <s v="TOWER12A TUBULR3 LEG W PLT &amp; FNCE-FAB"/>
    <n v="689835.90599999996"/>
    <n v="7.6999999999999999E-2"/>
    <n v="64"/>
    <n v="9314"/>
    <n v="680521.90599999996"/>
    <m/>
    <m/>
    <m/>
    <m/>
    <m/>
    <m/>
    <n v="219233515.66"/>
  </r>
  <r>
    <n v="5"/>
    <n v="87"/>
    <s v="FABIND9INRDZI"/>
    <x v="2"/>
    <s v="I"/>
    <s v="FI2627000187"/>
    <d v="2026-04-24T00:00:00"/>
    <s v="INR"/>
    <n v="766484.34"/>
    <d v="2026-06-07T00:00:00"/>
    <d v="2026-04-24T00:00:00"/>
    <d v="2026-06-27T00:00:00"/>
    <s v="2000146212"/>
    <d v="2026-04-24T00:00:00"/>
    <m/>
    <m/>
    <s v="TOWER12A TUBULR3 LEG W PLT &amp; FNCE-FAB"/>
    <n v="689835.90599999996"/>
    <n v="7.6999999999999999E-2"/>
    <n v="64"/>
    <n v="9314"/>
    <n v="680521.90599999996"/>
    <m/>
    <m/>
    <m/>
    <m/>
    <m/>
    <m/>
    <n v="219233515.66"/>
  </r>
  <r>
    <n v="6"/>
    <n v="88"/>
    <s v="FABIND9INRDZI"/>
    <x v="2"/>
    <s v="I"/>
    <s v="FI2627000191"/>
    <d v="2026-04-24T00:00:00"/>
    <s v="INR"/>
    <n v="1151810.98"/>
    <d v="2026-06-07T00:00:00"/>
    <d v="2026-04-27T00:00:00"/>
    <d v="2026-06-27T00:00:00"/>
    <s v="2000146217"/>
    <d v="2026-04-24T00:00:00"/>
    <m/>
    <m/>
    <s v="GBT60M11A-STR439M/STUBLR3L W FENCE"/>
    <n v="1036629.882"/>
    <n v="7.6999999999999999E-2"/>
    <n v="61"/>
    <n v="13340"/>
    <n v="1023289.882"/>
    <m/>
    <m/>
    <m/>
    <m/>
    <m/>
    <m/>
    <n v="218848189.02000001"/>
  </r>
  <r>
    <n v="6"/>
    <n v="89"/>
    <s v="FABIND9INRDZI"/>
    <x v="2"/>
    <s v="I"/>
    <s v="FI2627000201"/>
    <d v="2026-04-26T00:00:00"/>
    <s v="INR"/>
    <n v="766484.34"/>
    <d v="2026-06-09T00:00:00"/>
    <d v="2026-04-27T00:00:00"/>
    <d v="2026-06-29T00:00:00"/>
    <s v="2000146236"/>
    <d v="2026-04-26T00:00:00"/>
    <m/>
    <m/>
    <s v="TOWER12A TUBULR3 LEG W PLT &amp; FNCE-FAB"/>
    <n v="689835.90599999996"/>
    <n v="7.6999999999999999E-2"/>
    <n v="63"/>
    <n v="9168"/>
    <n v="680667.90599999996"/>
    <m/>
    <m/>
    <m/>
    <m/>
    <m/>
    <m/>
    <n v="219233515.66"/>
  </r>
  <r>
    <n v="0"/>
    <n v="90"/>
    <s v="FABIND9INRDZI"/>
    <x v="3"/>
    <s v="I"/>
    <s v="FI2526007253"/>
    <d v="2025-12-29T00:00:00"/>
    <s v="INR"/>
    <n v="17142711.34"/>
    <d v="2026-04-28T00:00:00"/>
    <d v="2026-02-09T00:00:00"/>
    <d v="2026-05-18T00:00:00"/>
    <m/>
    <d v="2025-12-29T00:00:00"/>
    <m/>
    <m/>
    <m/>
    <n v="15428440.206"/>
    <n v="7.6999999999999999E-2"/>
    <n v="98"/>
    <n v="318967"/>
    <n v="15109473.206"/>
    <m/>
    <m/>
    <m/>
    <m/>
    <m/>
    <m/>
    <n v="66187288.659999996"/>
  </r>
  <r>
    <n v="0"/>
    <n v="91"/>
    <s v="FABIND9INRDZI"/>
    <x v="3"/>
    <s v="I"/>
    <s v="FI2526007571"/>
    <d v="2026-01-15T00:00:00"/>
    <s v="INR"/>
    <n v="40214"/>
    <d v="2026-05-15T00:00:00"/>
    <d v="2026-02-09T00:00:00"/>
    <d v="2026-06-04T00:00:00"/>
    <m/>
    <d v="2026-01-15T00:00:00"/>
    <m/>
    <m/>
    <m/>
    <n v="36192.6"/>
    <n v="7.6999999999999999E-2"/>
    <n v="115"/>
    <n v="878"/>
    <n v="35314.6"/>
    <m/>
    <m/>
    <m/>
    <m/>
    <m/>
    <m/>
    <n v="83289786"/>
  </r>
  <r>
    <n v="0"/>
    <n v="92"/>
    <s v="FABIND9INRDZI"/>
    <x v="3"/>
    <s v="I"/>
    <s v="FI2526007776"/>
    <d v="2026-01-21T00:00:00"/>
    <s v="INR"/>
    <n v="10602"/>
    <d v="2026-05-21T00:00:00"/>
    <d v="2026-02-09T00:00:00"/>
    <d v="2026-06-10T00:00:00"/>
    <m/>
    <d v="2026-01-21T00:00:00"/>
    <m/>
    <m/>
    <m/>
    <n v="9541.8000000000011"/>
    <n v="7.6999999999999999E-2"/>
    <n v="121"/>
    <n v="244"/>
    <n v="9297.8000000000011"/>
    <m/>
    <m/>
    <m/>
    <m/>
    <m/>
    <m/>
    <n v="83319398"/>
  </r>
  <r>
    <n v="0"/>
    <n v="93"/>
    <s v="FABIND9INRDZI"/>
    <x v="3"/>
    <s v="I"/>
    <s v="FI2526007863"/>
    <d v="2026-01-24T00:00:00"/>
    <s v="INR"/>
    <n v="4838730"/>
    <d v="2026-05-24T00:00:00"/>
    <d v="2026-02-09T00:00:00"/>
    <d v="2026-06-13T00:00:00"/>
    <m/>
    <d v="2026-01-24T00:00:00"/>
    <m/>
    <m/>
    <m/>
    <n v="4354857"/>
    <n v="7.6999999999999999E-2"/>
    <n v="124"/>
    <n v="113918"/>
    <n v="4240939"/>
    <m/>
    <m/>
    <m/>
    <m/>
    <m/>
    <m/>
    <n v="78491270"/>
  </r>
  <r>
    <n v="0"/>
    <n v="94"/>
    <s v="FABIND9INRDZI"/>
    <x v="3"/>
    <s v="I"/>
    <s v="FI2526008626"/>
    <d v="2026-02-19T00:00:00"/>
    <s v="INR"/>
    <n v="84594.2"/>
    <d v="2026-06-19T00:00:00"/>
    <d v="2026-04-17T00:00:00"/>
    <d v="2026-07-09T00:00:00"/>
    <m/>
    <d v="2026-02-19T00:00:00"/>
    <m/>
    <m/>
    <m/>
    <n v="76134.78"/>
    <n v="7.6999999999999999E-2"/>
    <n v="83"/>
    <n v="1333"/>
    <n v="74801.78"/>
    <m/>
    <m/>
    <m/>
    <m/>
    <m/>
    <m/>
    <n v="83245405.799999997"/>
  </r>
  <r>
    <n v="0"/>
    <n v="95"/>
    <s v="FABIND9INRDZI"/>
    <x v="3"/>
    <s v="I"/>
    <s v="FI2526008627"/>
    <d v="2026-02-19T00:00:00"/>
    <s v="INR"/>
    <n v="92346.8"/>
    <d v="2026-06-19T00:00:00"/>
    <d v="2026-04-17T00:00:00"/>
    <d v="2026-07-09T00:00:00"/>
    <m/>
    <d v="2026-02-19T00:00:00"/>
    <m/>
    <m/>
    <m/>
    <n v="83112.12000000001"/>
    <n v="7.6999999999999999E-2"/>
    <n v="83"/>
    <n v="1455"/>
    <n v="81657.12000000001"/>
    <m/>
    <m/>
    <m/>
    <m/>
    <m/>
    <m/>
    <n v="83237653.200000003"/>
  </r>
  <r>
    <n v="0"/>
    <n v="96"/>
    <s v="FABIND9INRDZI"/>
    <x v="3"/>
    <s v="I"/>
    <s v="FI2526008643"/>
    <d v="2026-02-20T00:00:00"/>
    <s v="INR"/>
    <n v="8340.24"/>
    <d v="2026-06-20T00:00:00"/>
    <d v="2026-04-17T00:00:00"/>
    <d v="2026-07-10T00:00:00"/>
    <m/>
    <d v="2026-02-20T00:00:00"/>
    <m/>
    <m/>
    <m/>
    <n v="7506.2160000000003"/>
    <n v="7.6999999999999999E-2"/>
    <n v="84"/>
    <n v="133"/>
    <n v="7373.2160000000003"/>
    <m/>
    <m/>
    <m/>
    <m/>
    <m/>
    <m/>
    <n v="83321659.760000005"/>
  </r>
  <r>
    <n v="0"/>
    <n v="97"/>
    <s v="FABIND9INRDZI"/>
    <x v="3"/>
    <s v="I"/>
    <s v="FI2526008847"/>
    <d v="2026-02-24T00:00:00"/>
    <s v="INR"/>
    <n v="1324019"/>
    <d v="2026-06-24T00:00:00"/>
    <d v="2026-04-17T00:00:00"/>
    <d v="2026-07-14T00:00:00"/>
    <m/>
    <d v="2026-02-24T00:00:00"/>
    <m/>
    <m/>
    <m/>
    <n v="1191617.1000000001"/>
    <n v="7.6999999999999999E-2"/>
    <n v="88"/>
    <n v="22122"/>
    <n v="1169495.1000000001"/>
    <m/>
    <m/>
    <m/>
    <m/>
    <m/>
    <m/>
    <n v="82005981"/>
  </r>
  <r>
    <n v="0"/>
    <n v="98"/>
    <s v="FABIND9INRDZI"/>
    <x v="3"/>
    <s v="I"/>
    <s v="FI2526009296"/>
    <d v="2026-03-10T00:00:00"/>
    <s v="INR"/>
    <n v="548932.46"/>
    <d v="2026-07-08T00:00:00"/>
    <d v="2026-04-17T00:00:00"/>
    <d v="2026-07-28T00:00:00"/>
    <m/>
    <d v="2026-03-10T00:00:00"/>
    <m/>
    <m/>
    <m/>
    <n v="494039.21399999998"/>
    <n v="7.6999999999999999E-2"/>
    <n v="102"/>
    <n v="10631"/>
    <n v="483408.21399999998"/>
    <m/>
    <m/>
    <m/>
    <m/>
    <m/>
    <m/>
    <n v="82781067.540000007"/>
  </r>
  <r>
    <n v="0"/>
    <n v="99"/>
    <s v="FABIND9INRDZI"/>
    <x v="3"/>
    <s v="I"/>
    <s v="FI2526009297"/>
    <d v="2026-03-10T00:00:00"/>
    <s v="INR"/>
    <n v="1132374.02"/>
    <d v="2026-07-08T00:00:00"/>
    <d v="2026-04-17T00:00:00"/>
    <d v="2026-07-28T00:00:00"/>
    <m/>
    <d v="2026-03-10T00:00:00"/>
    <m/>
    <m/>
    <m/>
    <n v="1019136.618"/>
    <n v="7.6999999999999999E-2"/>
    <n v="102"/>
    <n v="21930"/>
    <n v="997206.61800000002"/>
    <m/>
    <m/>
    <m/>
    <m/>
    <m/>
    <m/>
    <n v="82197625.980000004"/>
  </r>
  <r>
    <n v="0"/>
    <n v="100"/>
    <s v="FABIND9INRDZI"/>
    <x v="3"/>
    <s v="I"/>
    <s v="FI2526009375"/>
    <d v="2026-03-13T00:00:00"/>
    <s v="INR"/>
    <n v="2100392.92"/>
    <d v="2026-07-11T00:00:00"/>
    <d v="2026-04-17T00:00:00"/>
    <d v="2026-07-31T00:00:00"/>
    <m/>
    <d v="2026-03-13T00:00:00"/>
    <m/>
    <m/>
    <m/>
    <n v="1890353.628"/>
    <n v="7.6999999999999999E-2"/>
    <n v="105"/>
    <n v="41873"/>
    <n v="1848480.628"/>
    <m/>
    <m/>
    <m/>
    <m/>
    <m/>
    <m/>
    <n v="81229607.079999998"/>
  </r>
  <r>
    <n v="0"/>
    <n v="101"/>
    <s v="FABIND9INRDZI"/>
    <x v="3"/>
    <s v="I"/>
    <s v="FI2526009442"/>
    <d v="2026-03-16T00:00:00"/>
    <s v="INR"/>
    <n v="2956569.06"/>
    <d v="2026-07-14T00:00:00"/>
    <d v="2026-04-17T00:00:00"/>
    <d v="2026-08-03T00:00:00"/>
    <m/>
    <d v="2026-03-16T00:00:00"/>
    <m/>
    <m/>
    <m/>
    <n v="2660912.1540000001"/>
    <n v="7.6999999999999999E-2"/>
    <n v="108"/>
    <n v="60625"/>
    <n v="2600287.1540000001"/>
    <m/>
    <m/>
    <m/>
    <m/>
    <m/>
    <m/>
    <n v="80373430.939999998"/>
  </r>
  <r>
    <n v="0"/>
    <n v="102"/>
    <s v="FABIND9INRDZI"/>
    <x v="3"/>
    <s v="I"/>
    <s v="FI2526009688"/>
    <d v="2026-03-26T00:00:00"/>
    <s v="INR"/>
    <n v="451109.28"/>
    <d v="2026-07-24T00:00:00"/>
    <d v="2026-04-17T00:00:00"/>
    <d v="2026-08-13T00:00:00"/>
    <m/>
    <d v="2026-03-26T00:00:00"/>
    <m/>
    <m/>
    <m/>
    <n v="405998.35200000001"/>
    <n v="7.6999999999999999E-2"/>
    <n v="118"/>
    <n v="10107"/>
    <n v="395891.35200000001"/>
    <m/>
    <m/>
    <m/>
    <m/>
    <m/>
    <m/>
    <n v="82878890.719999999"/>
  </r>
  <r>
    <n v="0"/>
    <n v="103"/>
    <s v="FABIND9INRDZI"/>
    <x v="3"/>
    <s v="I"/>
    <s v="FI2526009689"/>
    <d v="2026-03-26T00:00:00"/>
    <s v="INR"/>
    <n v="155809.56"/>
    <d v="2026-07-24T00:00:00"/>
    <d v="2026-04-17T00:00:00"/>
    <d v="2026-08-13T00:00:00"/>
    <m/>
    <d v="2026-03-26T00:00:00"/>
    <m/>
    <m/>
    <m/>
    <n v="140228.60399999999"/>
    <n v="7.6999999999999999E-2"/>
    <n v="118"/>
    <n v="3491"/>
    <n v="136737.60399999999"/>
    <m/>
    <m/>
    <m/>
    <m/>
    <m/>
    <m/>
    <n v="83174190.439999998"/>
  </r>
  <r>
    <n v="0"/>
    <n v="104"/>
    <s v="FABIND9INRDZI"/>
    <x v="3"/>
    <s v="I"/>
    <s v="FI2526009710"/>
    <d v="2026-03-30T00:00:00"/>
    <s v="INR"/>
    <n v="1625674.2"/>
    <d v="2026-07-28T00:00:00"/>
    <d v="2026-04-17T00:00:00"/>
    <d v="2026-08-17T00:00:00"/>
    <m/>
    <d v="2026-03-30T00:00:00"/>
    <m/>
    <m/>
    <m/>
    <n v="1463106.78"/>
    <n v="7.6999999999999999E-2"/>
    <n v="122"/>
    <n v="37656"/>
    <n v="1425450.78"/>
    <m/>
    <m/>
    <m/>
    <m/>
    <m/>
    <m/>
    <n v="81704325.799999997"/>
  </r>
  <r>
    <n v="0"/>
    <n v="105"/>
    <s v="FABIND9INRDZI"/>
    <x v="3"/>
    <s v="I"/>
    <s v="FI2526009711"/>
    <d v="2026-03-30T00:00:00"/>
    <s v="INR"/>
    <n v="1627034.74"/>
    <d v="2026-07-28T00:00:00"/>
    <d v="2026-04-17T00:00:00"/>
    <d v="2026-08-17T00:00:00"/>
    <m/>
    <d v="2026-03-30T00:00:00"/>
    <m/>
    <m/>
    <m/>
    <n v="1464331.2660000001"/>
    <n v="7.6999999999999999E-2"/>
    <n v="122"/>
    <n v="37687"/>
    <n v="1426644.2660000001"/>
    <m/>
    <m/>
    <m/>
    <m/>
    <m/>
    <m/>
    <n v="81702965.260000005"/>
  </r>
  <r>
    <n v="1"/>
    <n v="106"/>
    <s v="FABIND9INRDZI"/>
    <x v="3"/>
    <s v="I"/>
    <s v="FI2627000103"/>
    <d v="2026-04-17T00:00:00"/>
    <s v="INR"/>
    <n v="5560.16"/>
    <d v="2026-08-15T00:00:00"/>
    <d v="2026-04-23T00:00:00"/>
    <d v="2026-09-04T00:00:00"/>
    <n v="91749"/>
    <d v="2026-04-17T00:00:00"/>
    <m/>
    <m/>
    <s v="C1B1124001756002-Suprt Plate Bsbr 2 Bsbr"/>
    <n v="5004.1440000000002"/>
    <n v="7.6999999999999999E-2"/>
    <n v="134"/>
    <n v="141"/>
    <n v="4863.1440000000002"/>
    <m/>
    <m/>
    <m/>
    <m/>
    <m/>
    <m/>
    <n v="83324439.840000004"/>
  </r>
  <r>
    <n v="1"/>
    <n v="107"/>
    <s v="FABIND9INRDZI"/>
    <x v="3"/>
    <s v="I"/>
    <s v="FI2627000138"/>
    <d v="2026-04-21T00:00:00"/>
    <s v="INR"/>
    <n v="357129.36"/>
    <d v="2026-08-19T00:00:00"/>
    <d v="2026-04-23T00:00:00"/>
    <d v="2026-09-08T00:00:00"/>
    <s v="NSK/7547"/>
    <d v="2026-04-21T00:00:00"/>
    <m/>
    <m/>
    <s v="PTD5903864004-Struct ISA 65X65X6"/>
    <n v="321416.424"/>
    <n v="7.6999999999999999E-2"/>
    <n v="138"/>
    <n v="9357"/>
    <n v="312059.424"/>
    <m/>
    <m/>
    <m/>
    <m/>
    <m/>
    <m/>
    <n v="82972870.640000001"/>
  </r>
  <r>
    <n v="1"/>
    <n v="108"/>
    <s v="FABIND9INRDZI"/>
    <x v="3"/>
    <s v="I"/>
    <s v="FI2627000141"/>
    <d v="2026-04-21T00:00:00"/>
    <s v="INR"/>
    <n v="418134.18"/>
    <d v="2026-08-19T00:00:00"/>
    <d v="2026-04-23T00:00:00"/>
    <d v="2026-09-08T00:00:00"/>
    <s v="NSK/7546"/>
    <d v="2026-04-21T00:00:00"/>
    <m/>
    <m/>
    <s v="PTD5903894001-Struct ISA 7575X8-3230L"/>
    <n v="376320.76199999999"/>
    <n v="7.6999999999999999E-2"/>
    <n v="138"/>
    <n v="10956"/>
    <n v="365364.76199999999"/>
    <m/>
    <m/>
    <m/>
    <m/>
    <m/>
    <m/>
    <n v="82911865.819999993"/>
  </r>
  <r>
    <n v="1"/>
    <n v="109"/>
    <s v="FABIND9INRDZI"/>
    <x v="3"/>
    <s v="I"/>
    <s v="FI2627000145"/>
    <d v="2026-04-21T00:00:00"/>
    <s v="INR"/>
    <n v="479139"/>
    <d v="2026-08-19T00:00:00"/>
    <d v="2026-04-23T00:00:00"/>
    <d v="2026-09-08T00:00:00"/>
    <s v="NSK/7545"/>
    <d v="2026-04-21T00:00:00"/>
    <m/>
    <m/>
    <s v="PTD5903754003-FB M39 X1080"/>
    <n v="431225.10000000003"/>
    <n v="7.6999999999999999E-2"/>
    <n v="138"/>
    <n v="12554"/>
    <n v="418671.10000000003"/>
    <m/>
    <m/>
    <m/>
    <m/>
    <m/>
    <m/>
    <n v="82850861"/>
  </r>
  <r>
    <n v="1"/>
    <n v="110"/>
    <s v="FABIND9INRDZI"/>
    <x v="3"/>
    <s v="I"/>
    <s v="FI2627000147"/>
    <d v="2026-04-21T00:00:00"/>
    <s v="INR"/>
    <n v="692866.5"/>
    <d v="2026-08-19T00:00:00"/>
    <d v="2026-04-23T00:00:00"/>
    <d v="2026-09-08T00:00:00"/>
    <s v="NSK/7548"/>
    <d v="2026-04-21T00:00:00"/>
    <m/>
    <m/>
    <s v="PTD5903754002 FB M36X1080 Non-PG 420 KV"/>
    <n v="623579.85"/>
    <n v="7.6999999999999999E-2"/>
    <n v="138"/>
    <n v="18154"/>
    <n v="605425.85"/>
    <m/>
    <m/>
    <m/>
    <m/>
    <m/>
    <m/>
    <n v="82637133.5"/>
  </r>
  <r>
    <n v="2"/>
    <n v="111"/>
    <s v="FABIND9INRDZI"/>
    <x v="3"/>
    <s v="I"/>
    <s v="FI2627000162"/>
    <d v="2026-04-22T00:00:00"/>
    <s v="INR"/>
    <n v="155809.56"/>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x v="3"/>
    <s v="I"/>
    <s v="FI2627000163"/>
    <d v="2026-04-22T00:00:00"/>
    <s v="INR"/>
    <n v="230361.96"/>
    <d v="2026-08-20T00:00:00"/>
    <d v="2026-04-23T00:00:00"/>
    <d v="2026-09-09T00:00:00"/>
    <s v="NSK/7582"/>
    <d v="2026-04-22T00:00:00"/>
    <m/>
    <m/>
    <s v="PTD5903542001-Platform wt Ladder 1450 Ht"/>
    <n v="207325.764"/>
    <n v="7.6999999999999999E-2"/>
    <n v="139"/>
    <n v="6079"/>
    <n v="201246.764"/>
    <m/>
    <m/>
    <m/>
    <m/>
    <m/>
    <m/>
    <n v="83099638.040000007"/>
  </r>
  <r>
    <n v="3"/>
    <n v="113"/>
    <s v="FABIND9INRDZI"/>
    <x v="3"/>
    <s v="I"/>
    <s v="FI2627000166"/>
    <d v="2026-04-23T00:00:00"/>
    <s v="INR"/>
    <n v="129841.3"/>
    <d v="2026-08-21T00:00:00"/>
    <d v="2026-04-23T00:00:00"/>
    <d v="2026-09-10T00:00:00"/>
    <s v="NSK/7583"/>
    <d v="2026-04-23T00:00:00"/>
    <m/>
    <m/>
    <s v="PTD5903542001-Platform wt Ladder 1450 Ht"/>
    <n v="116857.17"/>
    <n v="7.6999999999999999E-2"/>
    <n v="140"/>
    <n v="3451"/>
    <n v="113406.17"/>
    <m/>
    <m/>
    <m/>
    <m/>
    <m/>
    <m/>
    <n v="83200158.700000003"/>
  </r>
  <r>
    <n v="3"/>
    <n v="114"/>
    <s v="FABIND9INRDZI"/>
    <x v="3"/>
    <s v="I"/>
    <s v="FI2627000174"/>
    <d v="2026-04-23T00:00:00"/>
    <s v="INR"/>
    <n v="150509"/>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Invoice Disc Tranch"/>
    <s v="No."/>
    <s v="Account Code"/>
    <s v="Debtor Code"/>
    <s v="Instrument Type"/>
    <s v="Instrument Number"/>
    <s v="Instrument Date"/>
    <s v="Instrument Currency"/>
    <s v="Instrument Amount"/>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s v="INDUSTOWER"/>
    <s v="I"/>
    <s v="FI2627000000"/>
    <d v="2026-04-02T00:00:00"/>
    <s v="INR"/>
    <n v="561855.81999999995"/>
    <d v="2026-05-12T00:00:00"/>
    <d v="2026-04-17T00:00:00"/>
    <d v="2026-06-01T00:00:00"/>
    <n v="10001"/>
    <d v="2026-04-02T00:00:00"/>
    <m/>
    <m/>
    <s v="NBT 40Mtr Tower"/>
    <n v="505670.23799999995"/>
    <n v="7.6999999999999999E-2"/>
    <n v="45"/>
    <n v="4800"/>
    <n v="500870.23799999995"/>
    <m/>
    <m/>
    <m/>
    <m/>
    <n v="46174"/>
    <n v="4925227"/>
    <n v="274438144.18000001"/>
  </r>
  <r>
    <n v="1"/>
    <n v="2"/>
    <s v="FABIND9INRDZI"/>
    <s v="INDUSTOWER"/>
    <s v="I"/>
    <s v="FI2627000001"/>
    <d v="2026-04-02T00:00:00"/>
    <s v="INR"/>
    <n v="561855.81999999995"/>
    <d v="2026-05-12T00:00:00"/>
    <d v="2026-04-17T00:00:00"/>
    <d v="2026-06-01T00:00:00"/>
    <n v="10003"/>
    <d v="2026-04-02T00:00:00"/>
    <m/>
    <m/>
    <s v="NBT 40Mtr Tower"/>
    <n v="505670.23799999995"/>
    <n v="7.6999999999999999E-2"/>
    <n v="45"/>
    <n v="4800"/>
    <n v="500870.23799999995"/>
    <m/>
    <m/>
    <m/>
    <m/>
    <m/>
    <m/>
    <n v="274438144.18000001"/>
  </r>
  <r>
    <n v="1"/>
    <n v="3"/>
    <s v="FABIND9INRDZI"/>
    <s v="INDUSTOWER"/>
    <s v="I"/>
    <s v="FI2627000002"/>
    <d v="2026-04-02T00:00:00"/>
    <s v="INR"/>
    <n v="561855.81999999995"/>
    <d v="2026-05-12T00:00:00"/>
    <d v="2026-04-17T00:00:00"/>
    <d v="2026-06-01T00:00:00"/>
    <n v="10002"/>
    <d v="2026-04-02T00:00:00"/>
    <m/>
    <m/>
    <s v="NBT 40Mtr Tower"/>
    <n v="505670.23799999995"/>
    <n v="7.6999999999999999E-2"/>
    <n v="45"/>
    <n v="4800"/>
    <n v="500870.23799999995"/>
    <m/>
    <m/>
    <m/>
    <m/>
    <m/>
    <m/>
    <n v="274438144.18000001"/>
  </r>
  <r>
    <n v="1"/>
    <n v="4"/>
    <s v="FABIND9INRDZI"/>
    <s v="INDUSTOWER"/>
    <s v="I"/>
    <s v="FI2627000003"/>
    <d v="2026-04-02T00:00:00"/>
    <s v="INR"/>
    <n v="561855.81999999995"/>
    <d v="2026-05-12T00:00:00"/>
    <d v="2026-04-17T00:00:00"/>
    <d v="2026-06-01T00:00:00"/>
    <n v="10004"/>
    <d v="2026-04-02T00:00:00"/>
    <m/>
    <m/>
    <s v="NBT 40Mtr Tower"/>
    <n v="505670.23799999995"/>
    <n v="7.6999999999999999E-2"/>
    <n v="45"/>
    <n v="4800"/>
    <n v="500870.23799999995"/>
    <m/>
    <m/>
    <m/>
    <m/>
    <m/>
    <m/>
    <n v="274438144.18000001"/>
  </r>
  <r>
    <n v="1"/>
    <n v="5"/>
    <s v="FABIND9INRDZI"/>
    <s v="INDUSTOWER"/>
    <s v="I"/>
    <s v="FI2627000005"/>
    <d v="2026-04-03T00:00:00"/>
    <s v="INR"/>
    <n v="561855.81999999995"/>
    <d v="2026-05-13T00:00:00"/>
    <d v="2026-04-17T00:00:00"/>
    <d v="2026-06-02T00:00:00"/>
    <n v="10005"/>
    <d v="2026-04-03T00:00:00"/>
    <m/>
    <m/>
    <s v="NBT 40Mtr Tower"/>
    <n v="505670.23799999995"/>
    <n v="7.6999999999999999E-2"/>
    <n v="46"/>
    <n v="4907"/>
    <n v="500763.23799999995"/>
    <m/>
    <m/>
    <m/>
    <m/>
    <m/>
    <m/>
    <n v="274438144.18000001"/>
  </r>
  <r>
    <n v="1"/>
    <n v="6"/>
    <s v="FABIND9INRDZI"/>
    <s v="INDUSTOWER"/>
    <s v="I"/>
    <s v="FI2627000006"/>
    <d v="2026-04-03T00:00:00"/>
    <s v="INR"/>
    <n v="561855.81999999995"/>
    <d v="2026-05-13T00:00:00"/>
    <d v="2026-04-17T00:00:00"/>
    <d v="2026-06-02T00:00:00"/>
    <n v="10006"/>
    <d v="2026-04-03T00:00:00"/>
    <m/>
    <m/>
    <s v="NBT 40Mtr Tower"/>
    <n v="505670.23799999995"/>
    <n v="7.6999999999999999E-2"/>
    <n v="46"/>
    <n v="4907"/>
    <n v="500763.23799999995"/>
    <m/>
    <m/>
    <m/>
    <m/>
    <m/>
    <m/>
    <n v="274438144.18000001"/>
  </r>
  <r>
    <n v="1"/>
    <n v="7"/>
    <s v="FABIND9INRDZI"/>
    <s v="INDUSTOWER"/>
    <s v="I"/>
    <s v="FI2627000016"/>
    <d v="2026-04-03T00:00:00"/>
    <s v="INR"/>
    <n v="442595.58"/>
    <d v="2026-05-13T00:00:00"/>
    <d v="2026-04-17T00:00:00"/>
    <d v="2026-06-02T00:00:00"/>
    <n v="10007"/>
    <d v="2026-04-03T00:00:00"/>
    <m/>
    <m/>
    <s v="TOWER GBT 3Legged VM 30M 170KMPH"/>
    <n v="398336.022"/>
    <n v="7.6999999999999999E-2"/>
    <n v="46"/>
    <n v="3865"/>
    <n v="394471.022"/>
    <m/>
    <m/>
    <m/>
    <m/>
    <m/>
    <m/>
    <n v="274557404.42000002"/>
  </r>
  <r>
    <n v="1"/>
    <n v="8"/>
    <s v="FABIND9INRDZI"/>
    <s v="INDUSTOWER"/>
    <s v="I"/>
    <s v="FI2627000027"/>
    <d v="2026-04-05T00:00:00"/>
    <s v="INR"/>
    <n v="752314.9"/>
    <d v="2026-05-15T00:00:00"/>
    <d v="2026-04-17T00:00:00"/>
    <d v="2026-06-04T00:00:00"/>
    <n v="78287"/>
    <d v="2026-04-05T00:00:00"/>
    <m/>
    <m/>
    <s v="BIL - Tower GBT 40M 200 KMPH"/>
    <n v="677083.41"/>
    <n v="7.6999999999999999E-2"/>
    <n v="48"/>
    <n v="6856"/>
    <n v="670227.41"/>
    <m/>
    <m/>
    <m/>
    <m/>
    <m/>
    <m/>
    <n v="274247685.10000002"/>
  </r>
  <r>
    <n v="1"/>
    <n v="9"/>
    <s v="FABIND9INRDZI"/>
    <s v="INDUSTOWER"/>
    <s v="I"/>
    <s v="FI2627000030"/>
    <d v="2026-04-05T00:00:00"/>
    <s v="INR"/>
    <n v="689850.92"/>
    <d v="2026-05-15T00:00:00"/>
    <d v="2026-04-17T00:00:00"/>
    <d v="2026-06-04T00:00:00"/>
    <n v="10010"/>
    <d v="2026-04-05T00:00:00"/>
    <m/>
    <m/>
    <s v="INDUS SOLAR STRUCTURE(2PX5-30/20 DEGREE)"/>
    <n v="620865.8280000001"/>
    <n v="7.6999999999999999E-2"/>
    <n v="48"/>
    <n v="6287"/>
    <n v="614578.8280000001"/>
    <m/>
    <m/>
    <m/>
    <m/>
    <m/>
    <m/>
    <n v="274310149.07999998"/>
  </r>
  <r>
    <n v="1"/>
    <n v="10"/>
    <s v="FABIND9INRDZI"/>
    <s v="INDUSTOWER"/>
    <s v="I"/>
    <s v="FI2627000031"/>
    <d v="2026-04-05T00:00:00"/>
    <s v="INR"/>
    <n v="689850.92"/>
    <d v="2026-05-15T00:00:00"/>
    <d v="2026-04-17T00:00:00"/>
    <d v="2026-06-04T00:00:00"/>
    <n v="10011"/>
    <d v="2026-04-05T00:00:00"/>
    <m/>
    <m/>
    <s v="INDUS SOLAR STRUCTURE(2PX5-30/20 DEGREE)"/>
    <n v="620865.8280000001"/>
    <n v="7.6999999999999999E-2"/>
    <n v="48"/>
    <n v="6287"/>
    <n v="614578.8280000001"/>
    <m/>
    <m/>
    <m/>
    <m/>
    <m/>
    <m/>
    <n v="274310149.07999998"/>
  </r>
  <r>
    <n v="1"/>
    <n v="11"/>
    <s v="FABIND9INRDZI"/>
    <s v="INDUSTOWER"/>
    <s v="I"/>
    <s v="FI2627000032"/>
    <d v="2026-04-05T00:00:00"/>
    <s v="INR"/>
    <n v="232106"/>
    <d v="2026-05-15T00:00:00"/>
    <d v="2026-04-17T00:00:00"/>
    <d v="2026-06-04T00:00:00"/>
    <n v="10014"/>
    <d v="2026-04-05T00:00:00"/>
    <m/>
    <m/>
    <s v="CIP RITA 15MTR"/>
    <n v="208895.4"/>
    <n v="7.6999999999999999E-2"/>
    <n v="48"/>
    <n v="2115"/>
    <n v="206780.4"/>
    <m/>
    <m/>
    <m/>
    <m/>
    <m/>
    <m/>
    <n v="274767894"/>
  </r>
  <r>
    <n v="2"/>
    <n v="12"/>
    <s v="FABIND9INRDZI"/>
    <s v="INDUSTOWER"/>
    <s v="I"/>
    <s v="FI2627000043"/>
    <d v="2026-04-06T00:00:00"/>
    <s v="INR"/>
    <n v="647363.34"/>
    <d v="2026-05-16T00:00:00"/>
    <d v="2026-04-17T00:00:00"/>
    <d v="2026-06-05T00:00:00"/>
    <n v="10016"/>
    <d v="2026-04-06T00:00:00"/>
    <m/>
    <m/>
    <s v="TowerGBT-3 Leg Tubular VT30M 200 KMPH"/>
    <n v="582627.00599999994"/>
    <n v="7.6999999999999999E-2"/>
    <n v="49"/>
    <n v="6023"/>
    <n v="576604.00599999994"/>
    <m/>
    <m/>
    <m/>
    <m/>
    <m/>
    <m/>
    <n v="274352636.66000003"/>
  </r>
  <r>
    <n v="2"/>
    <n v="13"/>
    <s v="FABIND9INRDZI"/>
    <s v="INDUSTOWER"/>
    <s v="I"/>
    <s v="FI2627000044"/>
    <d v="2026-04-06T00:00:00"/>
    <s v="INR"/>
    <n v="647363.34"/>
    <d v="2026-05-16T00:00:00"/>
    <d v="2026-04-17T00:00:00"/>
    <d v="2026-06-05T00:00:00"/>
    <n v="10017"/>
    <d v="2026-04-06T00:00:00"/>
    <m/>
    <m/>
    <s v="TowerGBT-3 Leg Tubular VT30M 200 KMPH"/>
    <n v="582627.00599999994"/>
    <n v="7.6999999999999999E-2"/>
    <n v="49"/>
    <n v="6023"/>
    <n v="576604.00599999994"/>
    <m/>
    <m/>
    <m/>
    <m/>
    <m/>
    <m/>
    <n v="274352636.66000003"/>
  </r>
  <r>
    <n v="2"/>
    <n v="14"/>
    <s v="FABIND9INRDZI"/>
    <s v="INDUSTOWER"/>
    <s v="I"/>
    <s v="FI2627000045"/>
    <d v="2026-04-06T00:00:00"/>
    <s v="INR"/>
    <n v="647363.34"/>
    <d v="2026-05-16T00:00:00"/>
    <d v="2026-04-17T00:00:00"/>
    <d v="2026-06-05T00:00:00"/>
    <n v="10018"/>
    <d v="2026-04-06T00:00:00"/>
    <m/>
    <m/>
    <s v="TowerGBT-3 Leg Tubular VT30M 200 KMPH"/>
    <n v="582627.00599999994"/>
    <n v="7.6999999999999999E-2"/>
    <n v="49"/>
    <n v="6023"/>
    <n v="576604.00599999994"/>
    <m/>
    <m/>
    <m/>
    <m/>
    <m/>
    <m/>
    <n v="274352636.66000003"/>
  </r>
  <r>
    <n v="2"/>
    <n v="15"/>
    <s v="FABIND9INRDZI"/>
    <s v="INDUSTOWER"/>
    <s v="I"/>
    <s v="FI2627000047"/>
    <d v="2026-04-06T00:00:00"/>
    <s v="INR"/>
    <n v="647363.34"/>
    <d v="2026-05-16T00:00:00"/>
    <d v="2026-04-17T00:00:00"/>
    <d v="2026-06-05T00:00:00"/>
    <n v="10019"/>
    <d v="2026-04-06T00:00:00"/>
    <m/>
    <m/>
    <s v="TowerGBT-3 Leg Tubular VT30M 200 KMPH"/>
    <n v="582627.00599999994"/>
    <n v="7.6999999999999999E-2"/>
    <n v="49"/>
    <n v="6023"/>
    <n v="576604.00599999994"/>
    <m/>
    <m/>
    <m/>
    <m/>
    <m/>
    <m/>
    <n v="274352636.66000003"/>
  </r>
  <r>
    <n v="3"/>
    <n v="16"/>
    <s v="FABIND9INRDZI"/>
    <s v="INDUSTOWER"/>
    <s v="I"/>
    <s v="FI2627000052"/>
    <d v="2026-04-08T00:00:00"/>
    <s v="INR"/>
    <n v="647363.34"/>
    <d v="2026-05-18T00:00:00"/>
    <d v="2026-04-17T00:00:00"/>
    <d v="2026-06-07T00:00:00"/>
    <n v="10020"/>
    <d v="2026-04-08T00:00:00"/>
    <m/>
    <m/>
    <s v="TowerGBT-3 Leg Tubular VT30M 200 KMPH"/>
    <n v="582627.00599999994"/>
    <n v="7.6999999999999999E-2"/>
    <n v="51"/>
    <n v="6268"/>
    <n v="576359.00599999994"/>
    <m/>
    <m/>
    <m/>
    <m/>
    <m/>
    <m/>
    <n v="274352636.66000003"/>
  </r>
  <r>
    <n v="3"/>
    <n v="17"/>
    <s v="FABIND9INRDZI"/>
    <s v="INDUSTOWER"/>
    <s v="I"/>
    <s v="FI2627000063"/>
    <d v="2026-04-10T00:00:00"/>
    <s v="INR"/>
    <n v="774998.04"/>
    <d v="2026-05-20T00:00:00"/>
    <d v="2026-04-17T00:00:00"/>
    <d v="2026-06-09T00:00:00"/>
    <n v="778"/>
    <d v="2026-04-10T00:00:00"/>
    <m/>
    <m/>
    <s v="BIL - Tower GBT 40M 200 KMPH"/>
    <n v="697498.23600000003"/>
    <n v="7.6999999999999999E-2"/>
    <n v="53"/>
    <n v="7799"/>
    <n v="689699.23600000003"/>
    <m/>
    <m/>
    <m/>
    <m/>
    <m/>
    <m/>
    <n v="274225001.95999998"/>
  </r>
  <r>
    <n v="3"/>
    <n v="18"/>
    <s v="FABIND9INRDZI"/>
    <s v="INDUSTOWER"/>
    <s v="I"/>
    <s v="FI2627000064"/>
    <d v="2026-04-10T00:00:00"/>
    <s v="INR"/>
    <n v="774998.04"/>
    <d v="2026-05-20T00:00:00"/>
    <d v="2026-04-17T00:00:00"/>
    <d v="2026-06-09T00:00:00"/>
    <n v="10024"/>
    <d v="2026-04-10T00:00:00"/>
    <m/>
    <m/>
    <s v="BIL - Tower GBT 40M 200 KMPH"/>
    <n v="697498.23600000003"/>
    <n v="7.6999999999999999E-2"/>
    <n v="53"/>
    <n v="7799"/>
    <n v="689699.23600000003"/>
    <m/>
    <m/>
    <m/>
    <m/>
    <m/>
    <m/>
    <n v="274225001.95999998"/>
  </r>
  <r>
    <n v="3"/>
    <n v="19"/>
    <s v="FABIND9INRDZI"/>
    <s v="INDUSTOWER"/>
    <s v="I"/>
    <s v="FI2627000065"/>
    <d v="2026-04-10T00:00:00"/>
    <s v="INR"/>
    <n v="774998.04"/>
    <d v="2026-05-20T00:00:00"/>
    <d v="2026-04-17T00:00:00"/>
    <d v="2026-06-09T00:00:00"/>
    <n v="779"/>
    <d v="2026-04-10T00:00:00"/>
    <m/>
    <m/>
    <s v="BIL - Tower GBT 40M 200 KMPH"/>
    <n v="697498.23600000003"/>
    <n v="7.6999999999999999E-2"/>
    <n v="53"/>
    <n v="7799"/>
    <n v="689699.23600000003"/>
    <m/>
    <m/>
    <m/>
    <m/>
    <m/>
    <m/>
    <n v="274225001.95999998"/>
  </r>
  <r>
    <n v="3"/>
    <n v="20"/>
    <s v="FABIND9INRDZI"/>
    <s v="INDUSTOWER"/>
    <s v="I"/>
    <s v="FI2627000066"/>
    <d v="2026-04-10T00:00:00"/>
    <s v="INR"/>
    <n v="774998.04"/>
    <d v="2026-05-20T00:00:00"/>
    <d v="2026-04-17T00:00:00"/>
    <d v="2026-06-09T00:00:00"/>
    <n v="10025"/>
    <d v="2026-04-10T00:00:00"/>
    <m/>
    <m/>
    <s v="BIL - Tower GBT 40M 200 KMPH"/>
    <n v="697498.23600000003"/>
    <n v="7.6999999999999999E-2"/>
    <n v="53"/>
    <n v="7799"/>
    <n v="689699.23600000003"/>
    <m/>
    <m/>
    <m/>
    <m/>
    <m/>
    <m/>
    <n v="274225001.95999998"/>
  </r>
  <r>
    <n v="3"/>
    <n v="21"/>
    <s v="FABIND9INRDZI"/>
    <s v="INDUSTOWER"/>
    <s v="I"/>
    <s v="FI2627000067"/>
    <d v="2026-04-10T00:00:00"/>
    <s v="INR"/>
    <n v="774998.04"/>
    <d v="2026-05-20T00:00:00"/>
    <d v="2026-04-17T00:00:00"/>
    <d v="2026-06-09T00:00:00"/>
    <n v="10026"/>
    <d v="2026-04-10T00:00:00"/>
    <m/>
    <m/>
    <s v="BIL - Tower GBT 40M 200 KMPH"/>
    <n v="697498.23600000003"/>
    <n v="7.6999999999999999E-2"/>
    <n v="53"/>
    <n v="7799"/>
    <n v="689699.23600000003"/>
    <m/>
    <m/>
    <m/>
    <m/>
    <m/>
    <m/>
    <n v="274225001.95999998"/>
  </r>
  <r>
    <n v="3"/>
    <n v="22"/>
    <s v="FABIND9INRDZI"/>
    <s v="INDUSTOWER"/>
    <s v="I"/>
    <s v="FI2627000069"/>
    <d v="2026-04-12T00:00:00"/>
    <s v="INR"/>
    <n v="647363.34"/>
    <d v="2026-05-22T00:00:00"/>
    <d v="2026-04-17T00:00:00"/>
    <d v="2026-06-11T00:00:00"/>
    <n v="780"/>
    <d v="2026-04-12T00:00:00"/>
    <m/>
    <m/>
    <s v="TowerGBT-3 Leg Tubular VT30M 200 KMPH"/>
    <n v="582627.00599999994"/>
    <n v="7.6999999999999999E-2"/>
    <n v="55"/>
    <n v="6760"/>
    <n v="575867.00599999994"/>
    <m/>
    <m/>
    <m/>
    <m/>
    <m/>
    <m/>
    <n v="274352636.66000003"/>
  </r>
  <r>
    <n v="3"/>
    <n v="23"/>
    <s v="FABIND9INRDZI"/>
    <s v="INDUSTOWER"/>
    <s v="I"/>
    <s v="FI2627000070"/>
    <d v="2026-04-12T00:00:00"/>
    <s v="INR"/>
    <n v="147186.12"/>
    <d v="2026-05-22T00:00:00"/>
    <d v="2026-04-17T00:00:00"/>
    <d v="2026-06-11T00:00:00"/>
    <n v="781"/>
    <d v="2026-04-12T00:00:00"/>
    <m/>
    <m/>
    <s v="Cast In part GBT-3L TBLR VT30M 200KMPH"/>
    <n v="132467.508"/>
    <n v="7.6999999999999999E-2"/>
    <n v="55"/>
    <n v="1537"/>
    <n v="130930.508"/>
    <m/>
    <m/>
    <m/>
    <m/>
    <m/>
    <m/>
    <n v="274852813.88"/>
  </r>
  <r>
    <n v="3"/>
    <n v="24"/>
    <s v="FABIND9INRDZI"/>
    <s v="INDUSTOWER"/>
    <s v="I"/>
    <s v="FI2627000071"/>
    <d v="2026-04-12T00:00:00"/>
    <s v="INR"/>
    <n v="774998.04"/>
    <d v="2026-05-22T00:00:00"/>
    <d v="2026-04-17T00:00:00"/>
    <d v="2026-06-11T00:00:00"/>
    <n v="10030"/>
    <d v="2026-04-12T00:00:00"/>
    <m/>
    <m/>
    <s v="BIL - Tower GBT 40M 200 KMPH"/>
    <n v="697498.23600000003"/>
    <n v="7.6999999999999999E-2"/>
    <n v="55"/>
    <n v="8093"/>
    <n v="689405.23600000003"/>
    <m/>
    <m/>
    <m/>
    <m/>
    <m/>
    <m/>
    <n v="274225001.95999998"/>
  </r>
  <r>
    <n v="3"/>
    <n v="25"/>
    <s v="FABIND9INRDZI"/>
    <s v="INDUSTOWER"/>
    <s v="I"/>
    <s v="FI2627000072"/>
    <d v="2026-04-12T00:00:00"/>
    <s v="INR"/>
    <n v="774998.04"/>
    <d v="2026-05-22T00:00:00"/>
    <d v="2026-04-17T00:00:00"/>
    <d v="2026-06-11T00:00:00"/>
    <n v="10031"/>
    <d v="2026-04-12T00:00:00"/>
    <m/>
    <m/>
    <s v="BIL - Tower GBT 40M 200 KMPH"/>
    <n v="697498.23600000003"/>
    <n v="7.6999999999999999E-2"/>
    <n v="55"/>
    <n v="8093"/>
    <n v="689405.23600000003"/>
    <m/>
    <m/>
    <m/>
    <m/>
    <m/>
    <m/>
    <n v="274225001.95999998"/>
  </r>
  <r>
    <n v="3"/>
    <n v="26"/>
    <s v="FABIND9INRDZI"/>
    <s v="INDUSTOWER"/>
    <s v="I"/>
    <s v="FI2627000077"/>
    <d v="2026-04-13T00:00:00"/>
    <s v="INR"/>
    <n v="774998.04"/>
    <d v="2026-05-23T00:00:00"/>
    <d v="2026-04-17T00:00:00"/>
    <d v="2026-06-12T00:00:00"/>
    <n v="78501"/>
    <d v="2026-04-13T00:00:00"/>
    <m/>
    <m/>
    <s v="BIL - Tower GBT 40M 200 KMPH"/>
    <n v="697498.23600000003"/>
    <n v="7.6999999999999999E-2"/>
    <n v="56"/>
    <n v="8240"/>
    <n v="689258.23600000003"/>
    <m/>
    <m/>
    <m/>
    <m/>
    <m/>
    <m/>
    <n v="274225001.95999998"/>
  </r>
  <r>
    <n v="3"/>
    <n v="27"/>
    <s v="FABIND9INRDZI"/>
    <s v="INDUSTOWER"/>
    <s v="I"/>
    <s v="FI2627000078"/>
    <d v="2026-04-13T00:00:00"/>
    <s v="INR"/>
    <n v="774998.04"/>
    <d v="2026-05-23T00:00:00"/>
    <d v="2026-04-17T00:00:00"/>
    <d v="2026-06-12T00:00:00"/>
    <n v="78502"/>
    <d v="2026-04-13T00:00:00"/>
    <m/>
    <m/>
    <s v="BIL - Tower GBT 40M 200 KMPH"/>
    <n v="697498.23600000003"/>
    <n v="7.6999999999999999E-2"/>
    <n v="56"/>
    <n v="8240"/>
    <n v="689258.23600000003"/>
    <m/>
    <m/>
    <m/>
    <m/>
    <m/>
    <m/>
    <n v="274225001.95999998"/>
  </r>
  <r>
    <n v="3"/>
    <n v="28"/>
    <s v="FABIND9INRDZI"/>
    <s v="INDUSTOWER"/>
    <s v="I"/>
    <s v="FI2627000079"/>
    <d v="2026-04-13T00:00:00"/>
    <s v="INR"/>
    <n v="774998.04"/>
    <d v="2026-05-23T00:00:00"/>
    <d v="2026-04-17T00:00:00"/>
    <d v="2026-06-12T00:00:00"/>
    <n v="78503"/>
    <d v="2026-04-13T00:00:00"/>
    <m/>
    <m/>
    <s v="BIL - Tower GBT 40M 200 KMPH"/>
    <n v="697498.23600000003"/>
    <n v="7.6999999999999999E-2"/>
    <n v="56"/>
    <n v="8240"/>
    <n v="689258.23600000003"/>
    <m/>
    <m/>
    <m/>
    <m/>
    <m/>
    <m/>
    <n v="274225001.95999998"/>
  </r>
  <r>
    <n v="4"/>
    <n v="29"/>
    <s v="FABIND9INRDZI"/>
    <s v="INDUSTOWER"/>
    <s v="I"/>
    <s v="FI2627000084"/>
    <d v="2026-04-15T00:00:00"/>
    <s v="INR"/>
    <n v="661895.04"/>
    <d v="2026-05-25T00:00:00"/>
    <d v="2026-04-20T00:00:00"/>
    <d v="2026-06-14T00:00:00"/>
    <n v="78510"/>
    <d v="2026-04-15T00:00:00"/>
    <m/>
    <m/>
    <s v="TowerGBT-3 Leg Tubular VT30M 200 KMPH"/>
    <n v="595705.53600000008"/>
    <n v="7.6999999999999999E-2"/>
    <n v="55"/>
    <n v="6912"/>
    <n v="588793.53600000008"/>
    <m/>
    <m/>
    <m/>
    <m/>
    <m/>
    <m/>
    <n v="274338104.95999998"/>
  </r>
  <r>
    <n v="4"/>
    <n v="30"/>
    <s v="FABIND9INRDZI"/>
    <s v="INDUSTOWER"/>
    <s v="I"/>
    <s v="FI2627000085"/>
    <d v="2026-04-15T00:00:00"/>
    <s v="INR"/>
    <n v="661895.04"/>
    <d v="2026-05-25T00:00:00"/>
    <d v="2026-04-20T00:00:00"/>
    <d v="2026-06-14T00:00:00"/>
    <n v="78511"/>
    <d v="2026-04-15T00:00:00"/>
    <m/>
    <m/>
    <s v="TowerGBT-3 Leg Tubular VT30M 200 KMPH"/>
    <n v="595705.53600000008"/>
    <n v="7.6999999999999999E-2"/>
    <n v="55"/>
    <n v="6912"/>
    <n v="588793.53600000008"/>
    <m/>
    <m/>
    <m/>
    <m/>
    <m/>
    <m/>
    <n v="274338104.95999998"/>
  </r>
  <r>
    <n v="4"/>
    <n v="31"/>
    <s v="FABIND9INRDZI"/>
    <s v="INDUSTOWER"/>
    <s v="I"/>
    <s v="FI2627000086"/>
    <d v="2026-04-15T00:00:00"/>
    <s v="INR"/>
    <n v="661895.04"/>
    <d v="2026-05-25T00:00:00"/>
    <d v="2026-04-20T00:00:00"/>
    <d v="2026-06-14T00:00:00"/>
    <n v="21123"/>
    <d v="2026-04-15T00:00:00"/>
    <m/>
    <m/>
    <s v="TowerGBT-3 Leg Tubular VT30M 200 KMPH"/>
    <n v="595705.53600000008"/>
    <n v="7.6999999999999999E-2"/>
    <n v="55"/>
    <n v="6912"/>
    <n v="588793.53600000008"/>
    <m/>
    <m/>
    <m/>
    <m/>
    <m/>
    <m/>
    <n v="274338104.95999998"/>
  </r>
  <r>
    <n v="4"/>
    <n v="32"/>
    <s v="FABIND9INRDZI"/>
    <s v="INDUSTOWER"/>
    <s v="I"/>
    <s v="FI2627000087"/>
    <d v="2026-04-15T00:00:00"/>
    <s v="INR"/>
    <n v="661895.04"/>
    <d v="2026-05-25T00:00:00"/>
    <d v="2026-04-20T00:00:00"/>
    <d v="2026-06-14T00:00:00"/>
    <n v="78512"/>
    <d v="2026-04-15T00:00:00"/>
    <m/>
    <m/>
    <s v="TowerGBT-3 Leg Tubular VT30M 200 KMPH"/>
    <n v="595705.53600000008"/>
    <n v="7.6999999999999999E-2"/>
    <n v="55"/>
    <n v="6912"/>
    <n v="588793.53600000008"/>
    <m/>
    <m/>
    <m/>
    <m/>
    <m/>
    <m/>
    <n v="274338104.95999998"/>
  </r>
  <r>
    <n v="4"/>
    <n v="33"/>
    <s v="FABIND9INRDZI"/>
    <s v="INDUSTOWER"/>
    <s v="I"/>
    <s v="FI2627000109"/>
    <d v="2026-04-19T00:00:00"/>
    <s v="INR"/>
    <n v="506008.78"/>
    <d v="2026-05-29T00:00:00"/>
    <d v="2026-04-20T00:00:00"/>
    <d v="2026-06-18T00:00:00"/>
    <n v="10038"/>
    <d v="2026-04-19T00:00:00"/>
    <m/>
    <m/>
    <s v="Tower- GBT- Elite 403 STR - 3L TBLR 40M"/>
    <n v="455407.90200000006"/>
    <n v="7.6999999999999999E-2"/>
    <n v="59"/>
    <n v="5668"/>
    <n v="449739.90200000006"/>
    <m/>
    <m/>
    <m/>
    <m/>
    <m/>
    <m/>
    <n v="274493991.22000003"/>
  </r>
  <r>
    <n v="4"/>
    <n v="34"/>
    <s v="FABIND9INRDZI"/>
    <s v="INDUSTOWER"/>
    <s v="I"/>
    <s v="FI2627000110"/>
    <d v="2026-04-19T00:00:00"/>
    <s v="INR"/>
    <n v="506008.78"/>
    <d v="2026-05-29T00:00:00"/>
    <d v="2026-04-20T00:00:00"/>
    <d v="2026-06-18T00:00:00"/>
    <n v="10039"/>
    <d v="2026-04-19T00:00:00"/>
    <m/>
    <m/>
    <s v="Tower- GBT- Elite 403 STR - 3L TBLR 40M"/>
    <n v="455407.90200000006"/>
    <n v="7.6999999999999999E-2"/>
    <n v="59"/>
    <n v="5668"/>
    <n v="449739.90200000006"/>
    <m/>
    <m/>
    <m/>
    <m/>
    <m/>
    <m/>
    <n v="274493991.22000003"/>
  </r>
  <r>
    <n v="4"/>
    <n v="35"/>
    <s v="FABIND9INRDZI"/>
    <s v="INDUSTOWER"/>
    <s v="I"/>
    <s v="FI2627000111"/>
    <d v="2026-04-19T00:00:00"/>
    <s v="INR"/>
    <n v="506008.78"/>
    <d v="2026-05-29T00:00:00"/>
    <d v="2026-04-20T00:00:00"/>
    <d v="2026-06-18T00:00:00"/>
    <n v="10040"/>
    <d v="2026-04-19T00:00:00"/>
    <m/>
    <m/>
    <s v="Tower- GBT- Elite 403 STR - 3L TBLR 40M"/>
    <n v="455407.90200000006"/>
    <n v="7.6999999999999999E-2"/>
    <n v="59"/>
    <n v="5668"/>
    <n v="449739.90200000006"/>
    <m/>
    <m/>
    <m/>
    <m/>
    <m/>
    <m/>
    <n v="274493991.22000003"/>
  </r>
  <r>
    <n v="4"/>
    <n v="36"/>
    <s v="FABIND9INRDZI"/>
    <s v="INDUSTOWER"/>
    <s v="I"/>
    <s v="FI2627000112"/>
    <d v="2026-04-19T00:00:00"/>
    <s v="INR"/>
    <n v="506008.78"/>
    <d v="2026-05-29T00:00:00"/>
    <d v="2026-04-20T00:00:00"/>
    <d v="2026-06-18T00:00:00"/>
    <n v="10041"/>
    <d v="2026-04-19T00:00:00"/>
    <m/>
    <m/>
    <s v="Tower- GBT- Elite 403 STR - 3L TBLR 40M"/>
    <n v="455407.90200000006"/>
    <n v="7.6999999999999999E-2"/>
    <n v="59"/>
    <n v="5668"/>
    <n v="449739.90200000006"/>
    <m/>
    <m/>
    <m/>
    <m/>
    <m/>
    <m/>
    <n v="274493991.22000003"/>
  </r>
  <r>
    <n v="5"/>
    <n v="37"/>
    <s v="FABIND9INRDZI"/>
    <s v="INDUSTOWER"/>
    <s v="I"/>
    <s v="FI2627000118"/>
    <d v="2026-04-20T00:00:00"/>
    <s v="INR"/>
    <n v="483325.64"/>
    <d v="2026-05-30T00:00:00"/>
    <d v="2026-04-23T00:00:00"/>
    <d v="2026-06-19T00:00:00"/>
    <n v="10043"/>
    <d v="2026-04-20T00:00:00"/>
    <m/>
    <m/>
    <s v="Tower- GBT- Elite 403 STR - 3L TBLR 40M"/>
    <n v="434993.076"/>
    <n v="7.6999999999999999E-2"/>
    <n v="57"/>
    <n v="5231"/>
    <n v="429762.076"/>
    <m/>
    <m/>
    <m/>
    <m/>
    <m/>
    <m/>
    <n v="274516674.36000001"/>
  </r>
  <r>
    <n v="5"/>
    <n v="38"/>
    <s v="FABIND9INRDZI"/>
    <s v="INDUSTOWER"/>
    <s v="I"/>
    <s v="FI2627000119"/>
    <d v="2026-04-20T00:00:00"/>
    <s v="INR"/>
    <n v="483325.64"/>
    <d v="2026-05-30T00:00:00"/>
    <d v="2026-04-23T00:00:00"/>
    <d v="2026-06-19T00:00:00"/>
    <n v="10044"/>
    <d v="2026-04-20T00:00:00"/>
    <m/>
    <m/>
    <s v="Tower- GBT- Elite 403 STR - 3L TBLR 40M"/>
    <n v="434993.076"/>
    <n v="7.6999999999999999E-2"/>
    <n v="57"/>
    <n v="5231"/>
    <n v="429762.076"/>
    <m/>
    <m/>
    <m/>
    <m/>
    <m/>
    <m/>
    <n v="274516674.36000001"/>
  </r>
  <r>
    <n v="5"/>
    <n v="39"/>
    <s v="FABIND9INRDZI"/>
    <s v="INDUSTOWER"/>
    <s v="I"/>
    <s v="FI2627000120"/>
    <d v="2026-04-20T00:00:00"/>
    <s v="INR"/>
    <n v="483325.64"/>
    <d v="2026-05-30T00:00:00"/>
    <d v="2026-04-23T00:00:00"/>
    <d v="2026-06-19T00:00:00"/>
    <n v="10045"/>
    <d v="2026-04-20T00:00:00"/>
    <m/>
    <m/>
    <s v="Tower- GBT- Elite 403 STR - 3L TBLR 40M"/>
    <n v="434993.076"/>
    <n v="7.6999999999999999E-2"/>
    <n v="57"/>
    <n v="5231"/>
    <n v="429762.076"/>
    <m/>
    <m/>
    <m/>
    <m/>
    <m/>
    <m/>
    <n v="274516674.36000001"/>
  </r>
  <r>
    <n v="5"/>
    <n v="40"/>
    <s v="FABIND9INRDZI"/>
    <s v="INDUSTOWER"/>
    <s v="I"/>
    <s v="FI2627000121"/>
    <d v="2026-04-20T00:00:00"/>
    <s v="INR"/>
    <n v="483325.64"/>
    <d v="2026-05-30T00:00:00"/>
    <d v="2026-04-23T00:00:00"/>
    <d v="2026-06-19T00:00:00"/>
    <n v="10046"/>
    <d v="2026-04-20T00:00:00"/>
    <m/>
    <m/>
    <s v="Tower- GBT- Elite 403 STR - 3L TBLR 40M"/>
    <n v="434993.076"/>
    <n v="7.6999999999999999E-2"/>
    <n v="57"/>
    <n v="5231"/>
    <n v="429762.076"/>
    <m/>
    <m/>
    <m/>
    <m/>
    <m/>
    <m/>
    <n v="274516674.36000001"/>
  </r>
  <r>
    <n v="5"/>
    <n v="41"/>
    <s v="FABIND9INRDZI"/>
    <s v="INDUSTOWER"/>
    <s v="I"/>
    <s v="FI2627000122"/>
    <d v="2026-04-20T00:00:00"/>
    <s v="INR"/>
    <n v="483325.64"/>
    <d v="2026-05-30T00:00:00"/>
    <d v="2026-04-23T00:00:00"/>
    <d v="2026-06-19T00:00:00"/>
    <n v="801"/>
    <d v="2026-04-20T00:00:00"/>
    <m/>
    <m/>
    <s v="Tower- GBT- Elite 403 STR - 3L TBLR 40M"/>
    <n v="434993.076"/>
    <n v="7.6999999999999999E-2"/>
    <n v="57"/>
    <n v="5231"/>
    <n v="429762.076"/>
    <m/>
    <m/>
    <m/>
    <m/>
    <m/>
    <m/>
    <n v="274516674.36000001"/>
  </r>
  <r>
    <n v="5"/>
    <n v="42"/>
    <s v="FABIND9INRDZI"/>
    <s v="INDUSTOWER"/>
    <s v="I"/>
    <s v="FI2627000127"/>
    <d v="2026-04-20T00:00:00"/>
    <s v="INR"/>
    <n v="1006923.5"/>
    <d v="2026-05-30T00:00:00"/>
    <d v="2026-04-23T00:00:00"/>
    <d v="2026-06-19T00:00:00"/>
    <n v="78158"/>
    <d v="2026-04-20T00:00:00"/>
    <m/>
    <m/>
    <s v="CIP - GBT - Elite 403 STR - 3L 170KMPH"/>
    <n v="906231.15"/>
    <n v="7.6999999999999999E-2"/>
    <n v="57"/>
    <n v="10897"/>
    <n v="895334.15"/>
    <m/>
    <m/>
    <m/>
    <m/>
    <m/>
    <m/>
    <n v="273993076.5"/>
  </r>
  <r>
    <n v="5"/>
    <n v="43"/>
    <s v="FABIND9INRDZI"/>
    <s v="INDUSTOWER"/>
    <s v="I"/>
    <s v="FI2627000128"/>
    <d v="2026-04-20T00:00:00"/>
    <s v="INR"/>
    <n v="671243"/>
    <d v="2026-05-30T00:00:00"/>
    <d v="2026-04-23T00:00:00"/>
    <d v="2026-06-19T00:00:00"/>
    <n v="10047"/>
    <d v="2026-04-20T00:00:00"/>
    <m/>
    <m/>
    <s v="12A - Tower GBT-3 Leg TBLR 40M 170 KMPH"/>
    <n v="604118.70000000007"/>
    <n v="7.6999999999999999E-2"/>
    <n v="57"/>
    <n v="7264"/>
    <n v="596854.70000000007"/>
    <m/>
    <m/>
    <m/>
    <m/>
    <m/>
    <m/>
    <n v="274328757"/>
  </r>
  <r>
    <n v="5"/>
    <n v="44"/>
    <s v="FABIND9INRDZI"/>
    <s v="INDUSTOWER"/>
    <s v="I"/>
    <s v="FI2627000134"/>
    <d v="2026-04-21T00:00:00"/>
    <s v="INR"/>
    <n v="481668.92"/>
    <d v="2026-05-31T00:00:00"/>
    <d v="2026-04-23T00:00:00"/>
    <d v="2026-06-20T00:00:00"/>
    <n v="10049"/>
    <d v="2026-04-21T00:00:00"/>
    <m/>
    <m/>
    <s v="TOWER GBT 3Legged VM 30M 170KMPH"/>
    <n v="433502.02799999999"/>
    <n v="7.6999999999999999E-2"/>
    <n v="58"/>
    <n v="5304"/>
    <n v="428198.02799999999"/>
    <m/>
    <m/>
    <m/>
    <m/>
    <m/>
    <m/>
    <n v="274518331.07999998"/>
  </r>
  <r>
    <n v="5"/>
    <n v="45"/>
    <s v="FABIND9INRDZI"/>
    <s v="INDUSTOWER"/>
    <s v="I"/>
    <s v="FI2627000135"/>
    <d v="2026-04-21T00:00:00"/>
    <s v="INR"/>
    <n v="506008.78"/>
    <d v="2026-05-31T00:00:00"/>
    <d v="2026-04-23T00:00:00"/>
    <d v="2026-06-20T00:00:00"/>
    <n v="10050"/>
    <d v="2026-04-21T00:00:00"/>
    <m/>
    <m/>
    <s v="Tower- GBT- Elite 403 STR - 3L TBLR 40M"/>
    <n v="455407.90200000006"/>
    <n v="7.6999999999999999E-2"/>
    <n v="58"/>
    <n v="5572"/>
    <n v="449835.90200000006"/>
    <m/>
    <m/>
    <m/>
    <m/>
    <m/>
    <m/>
    <n v="274493991.22000003"/>
  </r>
  <r>
    <n v="5"/>
    <n v="46"/>
    <s v="FABIND9INRDZI"/>
    <s v="INDUSTOWER"/>
    <s v="I"/>
    <s v="FI2627000136"/>
    <d v="2026-04-21T00:00:00"/>
    <s v="INR"/>
    <n v="506008.78"/>
    <d v="2026-05-31T00:00:00"/>
    <d v="2026-04-23T00:00:00"/>
    <d v="2026-06-20T00:00:00"/>
    <n v="78519"/>
    <d v="2026-04-21T00:00:00"/>
    <m/>
    <m/>
    <s v="Tower- GBT- Elite 403 STR - 3L TBLR 40M"/>
    <n v="455407.90200000006"/>
    <n v="7.6999999999999999E-2"/>
    <n v="58"/>
    <n v="5572"/>
    <n v="449835.90200000006"/>
    <m/>
    <m/>
    <m/>
    <m/>
    <m/>
    <m/>
    <n v="274493991.22000003"/>
  </r>
  <r>
    <n v="5"/>
    <n v="47"/>
    <s v="FABIND9INRDZI"/>
    <s v="INDUSTOWER"/>
    <s v="I"/>
    <s v="FI2627000137"/>
    <d v="2026-04-21T00:00:00"/>
    <s v="INR"/>
    <n v="506008.78"/>
    <d v="2026-05-31T00:00:00"/>
    <d v="2026-04-23T00:00:00"/>
    <d v="2026-06-20T00:00:00"/>
    <n v="78520"/>
    <d v="2026-04-21T00:00:00"/>
    <m/>
    <m/>
    <s v="Tower- GBT- Elite 403 STR - 3L TBLR 40M"/>
    <n v="455407.90200000006"/>
    <n v="7.6999999999999999E-2"/>
    <n v="58"/>
    <n v="5572"/>
    <n v="449835.90200000006"/>
    <m/>
    <m/>
    <m/>
    <m/>
    <m/>
    <m/>
    <n v="274493991.22000003"/>
  </r>
  <r>
    <n v="5"/>
    <n v="48"/>
    <s v="FABIND9INRDZI"/>
    <s v="INDUSTOWER"/>
    <s v="I"/>
    <s v="FI2627000139"/>
    <d v="2026-04-21T00:00:00"/>
    <s v="INR"/>
    <n v="506008.78"/>
    <d v="2026-05-31T00:00:00"/>
    <d v="2026-04-23T00:00:00"/>
    <d v="2026-06-20T00:00:00"/>
    <n v="78521"/>
    <d v="2026-04-21T00:00:00"/>
    <m/>
    <m/>
    <s v="Tower- GBT- Elite 403 STR - 3L TBLR 40M"/>
    <n v="455407.90200000006"/>
    <n v="7.6999999999999999E-2"/>
    <n v="58"/>
    <n v="5572"/>
    <n v="449835.90200000006"/>
    <m/>
    <m/>
    <m/>
    <m/>
    <m/>
    <m/>
    <n v="274493991.22000003"/>
  </r>
  <r>
    <n v="5"/>
    <n v="49"/>
    <s v="FABIND9INRDZI"/>
    <s v="INDUSTOWER"/>
    <s v="I"/>
    <s v="FI2627000140"/>
    <d v="2026-04-21T00:00:00"/>
    <s v="INR"/>
    <n v="506008.78"/>
    <d v="2026-05-31T00:00:00"/>
    <d v="2026-04-23T00:00:00"/>
    <d v="2026-06-20T00:00:00"/>
    <n v="10051"/>
    <d v="2026-04-21T00:00:00"/>
    <m/>
    <m/>
    <s v="Tower- GBT- Elite 403 STR - 3L TBLR 40M"/>
    <n v="455407.90200000006"/>
    <n v="7.6999999999999999E-2"/>
    <n v="58"/>
    <n v="5572"/>
    <n v="449835.90200000006"/>
    <m/>
    <m/>
    <m/>
    <m/>
    <m/>
    <m/>
    <n v="274493991.22000003"/>
  </r>
  <r>
    <n v="5"/>
    <n v="50"/>
    <s v="FABIND9INRDZI"/>
    <s v="INDUSTOWER"/>
    <s v="I"/>
    <s v="FI2627000148"/>
    <d v="2026-04-21T00:00:00"/>
    <s v="INR"/>
    <n v="506008.78"/>
    <d v="2026-05-31T00:00:00"/>
    <d v="2026-04-23T00:00:00"/>
    <d v="2026-06-20T00:00:00"/>
    <n v="78522"/>
    <d v="2026-04-21T00:00:00"/>
    <m/>
    <m/>
    <s v="Tower- GBT- Elite 403 STR - 3L TBLR 40M"/>
    <n v="455407.90200000006"/>
    <n v="7.6999999999999999E-2"/>
    <n v="58"/>
    <n v="5572"/>
    <n v="449835.90200000006"/>
    <m/>
    <m/>
    <m/>
    <m/>
    <m/>
    <m/>
    <n v="274493991.22000003"/>
  </r>
  <r>
    <n v="6"/>
    <n v="51"/>
    <s v="FABIND9INRDZI"/>
    <s v="INDUSTOWER"/>
    <s v="I"/>
    <s v="FI2627000151"/>
    <d v="2026-04-22T00:00:00"/>
    <s v="INR"/>
    <n v="873873.78"/>
    <d v="2026-06-01T00:00:00"/>
    <d v="2026-04-23T00:00:00"/>
    <d v="2026-06-21T00:00:00"/>
    <n v="25333"/>
    <d v="2026-04-22T00:00:00"/>
    <m/>
    <m/>
    <s v="SLIP JOINT MONOPOLE-30M (INDUS)"/>
    <n v="786486.402"/>
    <n v="7.6999999999999999E-2"/>
    <n v="59"/>
    <n v="9789"/>
    <n v="776697.402"/>
    <m/>
    <m/>
    <m/>
    <m/>
    <m/>
    <m/>
    <n v="274126126.22000003"/>
  </r>
  <r>
    <n v="6"/>
    <n v="52"/>
    <s v="FABIND9INRDZI"/>
    <s v="INDUSTOWER"/>
    <s v="I"/>
    <s v="FI2627000152"/>
    <d v="2026-04-22T00:00:00"/>
    <s v="INR"/>
    <n v="483325.64"/>
    <d v="2026-06-01T00:00:00"/>
    <d v="2026-04-23T00:00:00"/>
    <d v="2026-06-21T00:00:00"/>
    <n v="10054"/>
    <d v="2026-04-22T00:00:00"/>
    <m/>
    <m/>
    <s v="Tower- GBT- Elite 403 STR - 3L TBLR 40M"/>
    <n v="434993.076"/>
    <n v="7.6999999999999999E-2"/>
    <n v="59"/>
    <n v="5414"/>
    <n v="429579.076"/>
    <m/>
    <m/>
    <m/>
    <m/>
    <m/>
    <m/>
    <n v="274516674.36000001"/>
  </r>
  <r>
    <n v="6"/>
    <n v="53"/>
    <s v="FABIND9INRDZI"/>
    <s v="INDUSTOWER"/>
    <s v="I"/>
    <s v="FI2627000153"/>
    <d v="2026-04-22T00:00:00"/>
    <s v="INR"/>
    <n v="483325.64"/>
    <d v="2026-06-01T00:00:00"/>
    <d v="2026-04-23T00:00:00"/>
    <d v="2026-06-21T00:00:00"/>
    <n v="10053"/>
    <d v="2026-04-22T00:00:00"/>
    <m/>
    <m/>
    <s v="Tower- GBT- Elite 403 STR - 3L TBLR 40M"/>
    <n v="434993.076"/>
    <n v="7.6999999999999999E-2"/>
    <n v="59"/>
    <n v="5414"/>
    <n v="429579.076"/>
    <m/>
    <m/>
    <m/>
    <m/>
    <m/>
    <m/>
    <n v="274516674.36000001"/>
  </r>
  <r>
    <n v="6"/>
    <n v="54"/>
    <s v="FABIND9INRDZI"/>
    <s v="INDUSTOWER"/>
    <s v="I"/>
    <s v="FI2627000156"/>
    <d v="2026-04-22T00:00:00"/>
    <s v="INR"/>
    <n v="483325.64"/>
    <d v="2026-06-01T00:00:00"/>
    <d v="2026-04-23T00:00:00"/>
    <d v="2026-06-21T00:00:00"/>
    <n v="21129"/>
    <d v="2026-04-22T00:00:00"/>
    <m/>
    <m/>
    <s v="Tower- GBT- Elite 403 STR - 3L TBLR 40M"/>
    <n v="434993.076"/>
    <n v="7.6999999999999999E-2"/>
    <n v="59"/>
    <n v="5414"/>
    <n v="429579.076"/>
    <m/>
    <m/>
    <m/>
    <m/>
    <m/>
    <m/>
    <n v="274516674.36000001"/>
  </r>
  <r>
    <n v="7"/>
    <n v="55"/>
    <s v="FABIND9INRDZI"/>
    <s v="INDUSTOWER"/>
    <s v="I"/>
    <s v="FI2627000168"/>
    <d v="2026-04-23T00:00:00"/>
    <s v="INR"/>
    <n v="455946.1"/>
    <d v="2026-06-02T00:00:00"/>
    <d v="2026-04-23T00:00:00"/>
    <d v="2026-06-22T00:00:00"/>
    <s v="11527"/>
    <d v="2026-04-23T00:00:00"/>
    <m/>
    <m/>
    <s v="Tower- GBT- Elite-402 - 3L TBLR 40M 140"/>
    <n v="410351.49"/>
    <n v="7.6999999999999999E-2"/>
    <n v="60"/>
    <n v="5194"/>
    <n v="405157.49"/>
    <m/>
    <m/>
    <m/>
    <m/>
    <m/>
    <m/>
    <n v="274544053.89999998"/>
  </r>
  <r>
    <n v="7"/>
    <n v="56"/>
    <s v="FABIND9INRDZI"/>
    <s v="INDUSTOWER"/>
    <s v="I"/>
    <s v="FI2627000169"/>
    <d v="2026-04-23T00:00:00"/>
    <s v="INR"/>
    <n v="483325.64"/>
    <d v="2026-06-02T00:00:00"/>
    <d v="2026-04-23T00:00:00"/>
    <d v="2026-06-22T00:00:00"/>
    <s v="11528"/>
    <d v="2026-04-23T00:00:00"/>
    <m/>
    <m/>
    <s v="Tower- GBT- Elite 403 STR - 3L TBLR 40M"/>
    <n v="434993.076"/>
    <n v="7.6999999999999999E-2"/>
    <n v="60"/>
    <n v="5506"/>
    <n v="429487.076"/>
    <m/>
    <m/>
    <m/>
    <m/>
    <m/>
    <m/>
    <n v="274516674.36000001"/>
  </r>
  <r>
    <n v="8"/>
    <n v="57"/>
    <s v="FABIND9INRDZI"/>
    <s v="INDUSTOWER"/>
    <s v="I"/>
    <s v="FI2627000176"/>
    <d v="2026-04-24T00:00:00"/>
    <s v="INR"/>
    <n v="684578.18"/>
    <d v="2026-06-03T00:00:00"/>
    <d v="2026-04-24T00:00:00"/>
    <d v="2026-06-23T00:00:00"/>
    <s v="10061"/>
    <d v="2026-04-24T00:00:00"/>
    <m/>
    <m/>
    <s v="TowerGBT-3 Leg Tubular VT30M 200 KMPH"/>
    <n v="616120.36200000008"/>
    <n v="7.6999999999999999E-2"/>
    <n v="60"/>
    <n v="7799"/>
    <n v="608321.36200000008"/>
    <m/>
    <m/>
    <m/>
    <m/>
    <m/>
    <m/>
    <n v="274315421.81999999"/>
  </r>
  <r>
    <n v="8"/>
    <n v="58"/>
    <s v="FABIND9INRDZI"/>
    <s v="INDUSTOWER"/>
    <s v="I"/>
    <s v="FI2627000177"/>
    <d v="2026-04-24T00:00:00"/>
    <s v="INR"/>
    <n v="75263.94"/>
    <d v="2026-06-03T00:00:00"/>
    <d v="2026-04-24T00:00:00"/>
    <d v="2026-06-23T00:00:00"/>
    <s v="10062"/>
    <d v="2026-04-24T00:00:00"/>
    <m/>
    <m/>
    <s v="Cast In part GBT-3L TBLR VT30M 200KMPH"/>
    <n v="67737.546000000002"/>
    <n v="7.6999999999999999E-2"/>
    <n v="60"/>
    <n v="857"/>
    <n v="66880.546000000002"/>
    <m/>
    <m/>
    <m/>
    <m/>
    <m/>
    <m/>
    <n v="274924736.06"/>
  </r>
  <r>
    <n v="8"/>
    <n v="59"/>
    <s v="FABIND9INRDZI"/>
    <s v="INDUSTOWER"/>
    <s v="I"/>
    <s v="FI2627000178"/>
    <d v="2026-04-24T00:00:00"/>
    <s v="INR"/>
    <n v="684578.18"/>
    <d v="2026-06-03T00:00:00"/>
    <d v="2026-04-24T00:00:00"/>
    <d v="2026-06-23T00:00:00"/>
    <s v="10063"/>
    <d v="2026-04-24T00:00:00"/>
    <m/>
    <m/>
    <s v="TowerGBT-3 Leg Tubular VT30M 200 KMPH"/>
    <n v="616120.36200000008"/>
    <n v="7.6999999999999999E-2"/>
    <n v="60"/>
    <n v="7799"/>
    <n v="608321.36200000008"/>
    <m/>
    <m/>
    <m/>
    <m/>
    <m/>
    <m/>
    <n v="274315421.81999999"/>
  </r>
  <r>
    <n v="8"/>
    <n v="60"/>
    <s v="FABIND9INRDZI"/>
    <s v="INDUSTOWER"/>
    <s v="I"/>
    <s v="FI2627000179"/>
    <d v="2026-04-24T00:00:00"/>
    <s v="INR"/>
    <n v="75263.94"/>
    <d v="2026-06-03T00:00:00"/>
    <d v="2026-04-24T00:00:00"/>
    <d v="2026-06-23T00:00:00"/>
    <s v="10064"/>
    <d v="2026-04-24T00:00:00"/>
    <m/>
    <m/>
    <s v="Cast In part GBT-3L TBLR VT30M 200KMPH"/>
    <n v="67737.546000000002"/>
    <n v="7.6999999999999999E-2"/>
    <n v="60"/>
    <n v="857"/>
    <n v="66880.546000000002"/>
    <m/>
    <m/>
    <m/>
    <m/>
    <m/>
    <m/>
    <n v="274924736.06"/>
  </r>
  <r>
    <n v="8"/>
    <n v="61"/>
    <s v="FABIND9INRDZI"/>
    <s v="INDUSTOWER"/>
    <s v="I"/>
    <s v="FI2627000182"/>
    <d v="2026-04-24T00:00:00"/>
    <s v="INR"/>
    <n v="574467.66"/>
    <d v="2026-06-03T00:00:00"/>
    <d v="2026-04-24T00:00:00"/>
    <d v="2026-06-23T00:00:00"/>
    <s v="806"/>
    <d v="2026-04-24T00:00:00"/>
    <m/>
    <m/>
    <s v="NBT 40Mtr Tower"/>
    <n v="517020.89400000003"/>
    <n v="7.6999999999999999E-2"/>
    <n v="60"/>
    <n v="6544"/>
    <n v="510476.89400000003"/>
    <m/>
    <m/>
    <m/>
    <m/>
    <m/>
    <m/>
    <n v="274425532.33999997"/>
  </r>
  <r>
    <n v="8"/>
    <n v="62"/>
    <s v="FABIND9INRDZI"/>
    <s v="INDUSTOWER"/>
    <s v="I"/>
    <s v="FI2627000183"/>
    <d v="2026-04-24T00:00:00"/>
    <s v="INR"/>
    <n v="574467.66"/>
    <d v="2026-06-03T00:00:00"/>
    <d v="2026-04-24T00:00:00"/>
    <d v="2026-06-23T00:00:00"/>
    <s v="805"/>
    <d v="2026-04-24T00:00:00"/>
    <m/>
    <m/>
    <s v="NBT 40Mtr Tower"/>
    <n v="517020.89400000003"/>
    <n v="7.6999999999999999E-2"/>
    <n v="60"/>
    <n v="6544"/>
    <n v="510476.89400000003"/>
    <m/>
    <m/>
    <m/>
    <m/>
    <m/>
    <m/>
    <n v="274425532.33999997"/>
  </r>
  <r>
    <n v="8"/>
    <n v="63"/>
    <s v="FABIND9INRDZI"/>
    <s v="INDUSTOWER"/>
    <s v="I"/>
    <s v="FI2627000184"/>
    <d v="2026-04-24T00:00:00"/>
    <s v="INR"/>
    <n v="574467.66"/>
    <d v="2026-06-03T00:00:00"/>
    <d v="2026-04-24T00:00:00"/>
    <d v="2026-06-23T00:00:00"/>
    <s v="807"/>
    <d v="2026-04-24T00:00:00"/>
    <m/>
    <m/>
    <s v="NBT 40Mtr Tower"/>
    <n v="517020.89400000003"/>
    <n v="7.6999999999999999E-2"/>
    <n v="60"/>
    <n v="6544"/>
    <n v="510476.89400000003"/>
    <m/>
    <m/>
    <m/>
    <m/>
    <m/>
    <m/>
    <n v="274425532.33999997"/>
  </r>
  <r>
    <n v="8"/>
    <n v="64"/>
    <s v="FABIND9INRDZI"/>
    <s v="INDUSTOWER"/>
    <s v="I"/>
    <s v="FI2627000185"/>
    <d v="2026-04-24T00:00:00"/>
    <s v="INR"/>
    <n v="574467.66"/>
    <d v="2026-06-03T00:00:00"/>
    <d v="2026-04-24T00:00:00"/>
    <d v="2026-06-23T00:00:00"/>
    <s v="10066"/>
    <d v="2026-04-24T00:00:00"/>
    <m/>
    <m/>
    <s v="NBT 40Mtr Tower"/>
    <n v="517020.89400000003"/>
    <n v="7.6999999999999999E-2"/>
    <n v="60"/>
    <n v="6544"/>
    <n v="510476.89400000003"/>
    <m/>
    <m/>
    <m/>
    <m/>
    <m/>
    <m/>
    <n v="274425532.33999997"/>
  </r>
  <r>
    <n v="8"/>
    <n v="65"/>
    <s v="FABIND9INRDZI"/>
    <s v="INDUSTOWER"/>
    <s v="I"/>
    <s v="FI2627000186"/>
    <d v="2026-04-24T00:00:00"/>
    <s v="INR"/>
    <n v="574467.66"/>
    <d v="2026-06-03T00:00:00"/>
    <d v="2026-04-24T00:00:00"/>
    <d v="2026-06-23T00:00:00"/>
    <s v="10067"/>
    <d v="2026-04-24T00:00:00"/>
    <m/>
    <m/>
    <s v="NBT 40Mtr Tower"/>
    <n v="517020.89400000003"/>
    <n v="7.6999999999999999E-2"/>
    <n v="60"/>
    <n v="6544"/>
    <n v="510476.89400000003"/>
    <m/>
    <m/>
    <m/>
    <m/>
    <m/>
    <m/>
    <n v="274425532.33999997"/>
  </r>
  <r>
    <n v="8"/>
    <n v="66"/>
    <s v="FABIND9INRDZI"/>
    <s v="INDUSTOWER"/>
    <s v="I"/>
    <s v="FI2627000188"/>
    <d v="2026-04-24T00:00:00"/>
    <s v="INR"/>
    <n v="481668.92"/>
    <d v="2026-06-03T00:00:00"/>
    <d v="2026-04-24T00:00:00"/>
    <d v="2026-06-23T00:00:00"/>
    <s v="11529"/>
    <d v="2026-04-24T00:00:00"/>
    <m/>
    <m/>
    <s v="TOWER GBT 3Legged VM 30M 170KMPH"/>
    <n v="433502.02799999999"/>
    <n v="7.6999999999999999E-2"/>
    <n v="60"/>
    <n v="5487"/>
    <n v="428015.02799999999"/>
    <m/>
    <m/>
    <m/>
    <m/>
    <m/>
    <m/>
    <n v="274518331.07999998"/>
  </r>
  <r>
    <n v="9"/>
    <n v="67"/>
    <s v="FABIND9INRDZI"/>
    <s v="INDUSTOWER"/>
    <s v="I"/>
    <s v="FI2627000196"/>
    <d v="2026-04-26T00:00:00"/>
    <s v="INR"/>
    <n v="574467.66"/>
    <d v="2026-06-05T00:00:00"/>
    <d v="2026-04-27T00:00:00"/>
    <d v="2026-06-25T00:00:00"/>
    <s v="78526"/>
    <d v="2026-04-26T00:00:00"/>
    <m/>
    <m/>
    <s v="NBT 40Mtr Tower"/>
    <n v="517020.89400000003"/>
    <n v="7.6999999999999999E-2"/>
    <n v="59"/>
    <n v="6435"/>
    <n v="510585.89400000003"/>
    <m/>
    <m/>
    <m/>
    <m/>
    <m/>
    <m/>
    <n v="274425532.33999997"/>
  </r>
  <r>
    <n v="9"/>
    <n v="68"/>
    <s v="FABIND9INRDZI"/>
    <s v="INDUSTOWER"/>
    <s v="I"/>
    <s v="FI2627000197"/>
    <d v="2026-04-26T00:00:00"/>
    <s v="INR"/>
    <n v="574467.66"/>
    <d v="2026-06-05T00:00:00"/>
    <d v="2026-04-27T00:00:00"/>
    <d v="2026-06-25T00:00:00"/>
    <s v="10070"/>
    <d v="2026-04-26T00:00:00"/>
    <m/>
    <m/>
    <s v="NBT 40Mtr Tower"/>
    <n v="517020.89400000003"/>
    <n v="7.6999999999999999E-2"/>
    <n v="59"/>
    <n v="6435"/>
    <n v="510585.89400000003"/>
    <m/>
    <m/>
    <m/>
    <m/>
    <m/>
    <m/>
    <n v="274425532.33999997"/>
  </r>
  <r>
    <n v="9"/>
    <n v="69"/>
    <s v="FABIND9INRDZI"/>
    <s v="INDUSTOWER"/>
    <s v="I"/>
    <s v="FI2627000198"/>
    <d v="2026-04-26T00:00:00"/>
    <s v="INR"/>
    <n v="574467.66"/>
    <d v="2026-06-05T00:00:00"/>
    <d v="2026-04-27T00:00:00"/>
    <d v="2026-06-25T00:00:00"/>
    <s v="810"/>
    <d v="2026-04-26T00:00:00"/>
    <m/>
    <m/>
    <s v="NBT 40Mtr Tower"/>
    <n v="517020.89400000003"/>
    <n v="7.6999999999999999E-2"/>
    <n v="59"/>
    <n v="6435"/>
    <n v="510585.89400000003"/>
    <m/>
    <m/>
    <m/>
    <m/>
    <m/>
    <m/>
    <n v="274425532.33999997"/>
  </r>
  <r>
    <n v="9"/>
    <n v="70"/>
    <s v="FABIND9INRDZI"/>
    <s v="INDUSTOWER"/>
    <s v="I"/>
    <s v="FI2627000199"/>
    <d v="2026-04-26T00:00:00"/>
    <s v="INR"/>
    <n v="574467.66"/>
    <d v="2026-06-05T00:00:00"/>
    <d v="2026-04-27T00:00:00"/>
    <d v="2026-06-25T00:00:00"/>
    <s v="11530"/>
    <d v="2026-04-26T00:00:00"/>
    <m/>
    <m/>
    <s v="NBT 40Mtr Tower"/>
    <n v="517020.89400000003"/>
    <n v="7.6999999999999999E-2"/>
    <n v="59"/>
    <n v="6435"/>
    <n v="510585.89400000003"/>
    <m/>
    <m/>
    <m/>
    <m/>
    <m/>
    <m/>
    <n v="274425532.33999997"/>
  </r>
  <r>
    <n v="0"/>
    <n v="71"/>
    <s v="FABIND9INRDZI"/>
    <s v="RELIANCEIN"/>
    <s v="I"/>
    <s v="FI2526009378"/>
    <d v="2026-03-12T00:00:00"/>
    <s v="INR"/>
    <n v="764307.41"/>
    <d v="2026-04-25T00:00:00"/>
    <d v="2026-04-23T00:00:00"/>
    <d v="2026-05-15T00:00:00"/>
    <m/>
    <d v="2026-03-12T00:00:00"/>
    <m/>
    <m/>
    <m/>
    <n v="687876.66899999999"/>
    <n v="7.6999999999999999E-2"/>
    <n v="22"/>
    <n v="3193"/>
    <n v="684683.66899999999"/>
    <m/>
    <m/>
    <m/>
    <m/>
    <m/>
    <m/>
    <n v="219235692.59"/>
  </r>
  <r>
    <n v="1"/>
    <n v="72"/>
    <s v="FABIND9INRDZI"/>
    <s v="RELIANCEIN"/>
    <s v="I"/>
    <s v="FI2627000094"/>
    <d v="2026-04-16T00:00:00"/>
    <s v="INR"/>
    <n v="822460"/>
    <d v="2026-05-30T00:00:00"/>
    <d v="2026-04-20T00:00:00"/>
    <d v="2026-06-19T00:00:00"/>
    <n v="2000146043"/>
    <d v="2026-04-16T00:00:00"/>
    <m/>
    <m/>
    <s v="CIP for 12/18 Panel Structure_New Design"/>
    <n v="740214"/>
    <n v="7.6999999999999999E-2"/>
    <n v="60"/>
    <n v="9369"/>
    <n v="730845"/>
    <m/>
    <m/>
    <m/>
    <m/>
    <m/>
    <m/>
    <n v="219177540"/>
  </r>
  <r>
    <n v="1"/>
    <n v="73"/>
    <s v="FABIND9INRDZI"/>
    <s v="RELIANCEIN"/>
    <s v="I"/>
    <s v="FI2627000107"/>
    <d v="2026-04-19T00:00:00"/>
    <s v="INR"/>
    <n v="822460"/>
    <d v="2026-06-02T00:00:00"/>
    <d v="2026-04-20T00:00:00"/>
    <d v="2026-06-22T00:00:00"/>
    <n v="2000146110"/>
    <d v="2026-04-19T00:00:00"/>
    <m/>
    <m/>
    <s v="CIP for 12/18 Panel Structure_New Design"/>
    <n v="740214"/>
    <n v="7.6999999999999999E-2"/>
    <n v="63"/>
    <n v="9838"/>
    <n v="730376"/>
    <m/>
    <m/>
    <m/>
    <m/>
    <m/>
    <m/>
    <n v="219177540"/>
  </r>
  <r>
    <n v="2"/>
    <n v="74"/>
    <s v="FABIND9INRDZI"/>
    <s v="RELIANCEIN"/>
    <s v="I"/>
    <s v="FI2627000123"/>
    <d v="2026-04-20T00:00:00"/>
    <s v="INR"/>
    <n v="766484.34"/>
    <d v="2026-06-03T00:00:00"/>
    <d v="2026-04-23T00:00:00"/>
    <d v="2026-06-23T00:00:00"/>
    <n v="2000146126"/>
    <d v="2026-04-20T00:00:00"/>
    <m/>
    <m/>
    <s v="TOWER12A TUBULR3 LEG W PLT &amp; FNCE-FAB"/>
    <n v="689835.90599999996"/>
    <n v="7.6999999999999999E-2"/>
    <n v="61"/>
    <n v="8877"/>
    <n v="680958.90599999996"/>
    <m/>
    <m/>
    <m/>
    <m/>
    <m/>
    <m/>
    <n v="219233515.66"/>
  </r>
  <r>
    <n v="2"/>
    <n v="75"/>
    <s v="FABIND9INRDZI"/>
    <s v="RELIANCEIN"/>
    <s v="I"/>
    <s v="FI2627000124"/>
    <d v="2026-04-20T00:00:00"/>
    <s v="INR"/>
    <n v="766484.34"/>
    <d v="2026-06-03T00:00:00"/>
    <d v="2026-04-23T00:00:00"/>
    <d v="2026-06-23T00:00:00"/>
    <n v="2000146129"/>
    <d v="2026-04-20T00:00:00"/>
    <m/>
    <m/>
    <s v="TOWER12A TUBULR3 LEG W PLT &amp; FNCE-FAB"/>
    <n v="689835.90599999996"/>
    <n v="7.6999999999999999E-2"/>
    <n v="61"/>
    <n v="8877"/>
    <n v="680958.90599999996"/>
    <m/>
    <m/>
    <m/>
    <m/>
    <m/>
    <m/>
    <n v="219233515.66"/>
  </r>
  <r>
    <n v="2"/>
    <n v="76"/>
    <s v="FABIND9INRDZI"/>
    <s v="RELIANCEIN"/>
    <s v="I"/>
    <s v="FI2627000125"/>
    <d v="2026-04-20T00:00:00"/>
    <s v="INR"/>
    <n v="766484.34"/>
    <d v="2026-06-03T00:00:00"/>
    <d v="2026-04-23T00:00:00"/>
    <d v="2026-06-23T00:00:00"/>
    <n v="2000146130"/>
    <d v="2026-04-20T00:00:00"/>
    <m/>
    <m/>
    <s v="TOWER12A TUBULR3 LEG W PLT &amp; FNCE-FAB"/>
    <n v="689835.90599999996"/>
    <n v="7.6999999999999999E-2"/>
    <n v="61"/>
    <n v="8877"/>
    <n v="680958.90599999996"/>
    <m/>
    <m/>
    <m/>
    <m/>
    <m/>
    <m/>
    <n v="219233515.66"/>
  </r>
  <r>
    <n v="2"/>
    <n v="77"/>
    <s v="FABIND9INRDZI"/>
    <s v="RELIANCEIN"/>
    <s v="I"/>
    <s v="FI2627000126"/>
    <d v="2026-04-20T00:00:00"/>
    <s v="INR"/>
    <n v="766484.34"/>
    <d v="2026-06-03T00:00:00"/>
    <d v="2026-04-23T00:00:00"/>
    <d v="2026-06-23T00:00:00"/>
    <n v="2000146128"/>
    <d v="2026-04-20T00:00:00"/>
    <m/>
    <m/>
    <s v="TOWER12A TUBULR3 LEG W PLT &amp; FNCE-FAB"/>
    <n v="689835.90599999996"/>
    <n v="7.6999999999999999E-2"/>
    <n v="61"/>
    <n v="8877"/>
    <n v="680958.90599999996"/>
    <m/>
    <m/>
    <m/>
    <m/>
    <m/>
    <m/>
    <n v="219233515.66"/>
  </r>
  <r>
    <n v="2"/>
    <n v="78"/>
    <s v="FABIND9INRDZI"/>
    <s v="RELIANCEIN"/>
    <s v="I"/>
    <s v="FI2627000143"/>
    <d v="2026-04-21T00:00:00"/>
    <s v="INR"/>
    <n v="822460"/>
    <d v="2026-06-04T00:00:00"/>
    <d v="2026-04-23T00:00:00"/>
    <d v="2026-06-24T00:00:00"/>
    <n v="2000146147"/>
    <d v="2026-04-21T00:00:00"/>
    <m/>
    <m/>
    <s v="CIP for 12/18 Panel Structure_New Design"/>
    <n v="740214"/>
    <n v="7.6999999999999999E-2"/>
    <n v="62"/>
    <n v="9682"/>
    <n v="730532"/>
    <m/>
    <m/>
    <m/>
    <m/>
    <m/>
    <m/>
    <n v="219177540"/>
  </r>
  <r>
    <n v="2"/>
    <n v="79"/>
    <s v="FABIND9INRDZI"/>
    <s v="RELIANCEIN"/>
    <s v="I"/>
    <s v="FI2627000146"/>
    <d v="2026-04-21T00:00:00"/>
    <s v="INR"/>
    <n v="822460"/>
    <d v="2026-06-04T00:00:00"/>
    <d v="2026-04-23T00:00:00"/>
    <d v="2026-06-24T00:00:00"/>
    <n v="2000146148"/>
    <d v="2026-04-21T00:00:00"/>
    <m/>
    <m/>
    <s v="CIP for 12/18 Panel Structure_New Design"/>
    <n v="740214"/>
    <n v="7.6999999999999999E-2"/>
    <n v="62"/>
    <n v="9682"/>
    <n v="730532"/>
    <m/>
    <m/>
    <m/>
    <m/>
    <m/>
    <m/>
    <n v="219177540"/>
  </r>
  <r>
    <n v="3"/>
    <n v="80"/>
    <s v="FABIND9INRDZI"/>
    <s v="RELIANCEIN"/>
    <s v="I"/>
    <s v="FI2627000154"/>
    <d v="2026-04-22T00:00:00"/>
    <s v="INR"/>
    <n v="1069198"/>
    <d v="2026-06-05T00:00:00"/>
    <d v="2026-04-23T00:00:00"/>
    <d v="2026-06-25T00:00:00"/>
    <n v="2000146151"/>
    <d v="2026-04-22T00:00:00"/>
    <m/>
    <m/>
    <s v="TOWER12A TUBULR3 LEG W PLT &amp; FNCE-FAB"/>
    <n v="962278.20000000007"/>
    <n v="7.6999999999999999E-2"/>
    <n v="63"/>
    <n v="12789"/>
    <n v="949489.20000000007"/>
    <m/>
    <m/>
    <m/>
    <m/>
    <m/>
    <m/>
    <n v="218930802"/>
  </r>
  <r>
    <n v="4"/>
    <n v="81"/>
    <s v="FABIND9INRDZI"/>
    <s v="RELIANCEIN"/>
    <s v="I"/>
    <s v="FI2627000164"/>
    <d v="2026-04-23T00:00:00"/>
    <s v="INR"/>
    <n v="916860"/>
    <d v="2026-06-06T00:00:00"/>
    <d v="2026-04-23T00:00:00"/>
    <d v="2026-06-26T00:00:00"/>
    <s v="2000146179"/>
    <d v="2026-04-23T00:00:00"/>
    <m/>
    <m/>
    <s v="GBM30MTRIBANDLOADING50M/S-FAB"/>
    <n v="825174"/>
    <n v="7.6999999999999999E-2"/>
    <n v="64"/>
    <n v="11141"/>
    <n v="814033"/>
    <m/>
    <m/>
    <m/>
    <m/>
    <m/>
    <m/>
    <n v="219083140"/>
  </r>
  <r>
    <n v="4"/>
    <n v="82"/>
    <s v="FABIND9INRDZI"/>
    <s v="RELIANCEIN"/>
    <s v="I"/>
    <s v="FI2627000165"/>
    <d v="2026-04-23T00:00:00"/>
    <s v="INR"/>
    <n v="848001.1"/>
    <d v="2026-06-06T00:00:00"/>
    <d v="2026-04-23T00:00:00"/>
    <d v="2026-06-26T00:00:00"/>
    <s v="2000146180"/>
    <d v="2026-04-23T00:00:00"/>
    <m/>
    <m/>
    <s v="TUBULAR POLE 23M HIGH WS-50M/S"/>
    <n v="763200.99"/>
    <n v="7.6999999999999999E-2"/>
    <n v="64"/>
    <n v="10304"/>
    <n v="752896.99"/>
    <m/>
    <m/>
    <m/>
    <m/>
    <m/>
    <m/>
    <n v="219151998.90000001"/>
  </r>
  <r>
    <n v="4"/>
    <n v="83"/>
    <s v="FABIND9INRDZI"/>
    <s v="RELIANCEIN"/>
    <s v="I"/>
    <s v="FI2627000170"/>
    <d v="2026-04-23T00:00:00"/>
    <s v="INR"/>
    <n v="766484.34"/>
    <d v="2026-06-06T00:00:00"/>
    <d v="2026-04-23T00:00:00"/>
    <d v="2026-06-26T00:00:00"/>
    <s v="2000146185"/>
    <d v="2026-04-23T00:00:00"/>
    <m/>
    <m/>
    <s v="TOWER12A TUBULR3 LEG W PLT &amp; FNCE-FAB"/>
    <n v="689835.90599999996"/>
    <n v="7.6999999999999999E-2"/>
    <n v="64"/>
    <n v="9314"/>
    <n v="680521.90599999996"/>
    <m/>
    <m/>
    <m/>
    <m/>
    <m/>
    <m/>
    <n v="219233515.66"/>
  </r>
  <r>
    <n v="4"/>
    <n v="84"/>
    <s v="FABIND9INRDZI"/>
    <s v="RELIANCEIN"/>
    <s v="I"/>
    <s v="FI2627000171"/>
    <d v="2026-04-23T00:00:00"/>
    <s v="INR"/>
    <n v="766484.34"/>
    <d v="2026-06-06T00:00:00"/>
    <d v="2026-04-23T00:00:00"/>
    <d v="2026-06-26T00:00:00"/>
    <s v="2000146189"/>
    <d v="2026-04-23T00:00:00"/>
    <m/>
    <m/>
    <s v="TOWER12A TUBULR3 LEG W PLT &amp; FNCE-FAB"/>
    <n v="689835.90599999996"/>
    <n v="7.6999999999999999E-2"/>
    <n v="64"/>
    <n v="9314"/>
    <n v="680521.90599999996"/>
    <m/>
    <m/>
    <m/>
    <m/>
    <m/>
    <m/>
    <n v="219233515.66"/>
  </r>
  <r>
    <n v="4"/>
    <n v="85"/>
    <s v="FABIND9INRDZI"/>
    <s v="RELIANCEIN"/>
    <s v="I"/>
    <s v="FI2627000175"/>
    <d v="2026-04-23T00:00:00"/>
    <s v="INR"/>
    <n v="766484.34"/>
    <d v="2026-06-06T00:00:00"/>
    <d v="2026-04-23T00:00:00"/>
    <d v="2026-06-26T00:00:00"/>
    <s v="2000146186"/>
    <d v="2026-04-23T00:00:00"/>
    <m/>
    <m/>
    <s v="TOWER12A TUBULR3 LEG W PLT &amp; FNCE-FAB"/>
    <n v="689835.90599999996"/>
    <n v="7.6999999999999999E-2"/>
    <n v="64"/>
    <n v="9314"/>
    <n v="680521.90599999996"/>
    <m/>
    <m/>
    <m/>
    <m/>
    <m/>
    <m/>
    <n v="219233515.66"/>
  </r>
  <r>
    <n v="5"/>
    <n v="86"/>
    <s v="FABIND9INRDZI"/>
    <s v="RELIANCEIN"/>
    <s v="I"/>
    <s v="FI2627000181"/>
    <d v="2026-04-24T00:00:00"/>
    <s v="INR"/>
    <n v="766484.34"/>
    <d v="2026-06-07T00:00:00"/>
    <d v="2026-04-24T00:00:00"/>
    <d v="2026-06-27T00:00:00"/>
    <s v="2000146210"/>
    <d v="2026-04-24T00:00:00"/>
    <m/>
    <m/>
    <s v="TOWER12A TUBULR3 LEG W PLT &amp; FNCE-FAB"/>
    <n v="689835.90599999996"/>
    <n v="7.6999999999999999E-2"/>
    <n v="64"/>
    <n v="9314"/>
    <n v="680521.90599999996"/>
    <m/>
    <m/>
    <m/>
    <m/>
    <m/>
    <m/>
    <n v="219233515.66"/>
  </r>
  <r>
    <n v="5"/>
    <n v="87"/>
    <s v="FABIND9INRDZI"/>
    <s v="RELIANCEIN"/>
    <s v="I"/>
    <s v="FI2627000187"/>
    <d v="2026-04-24T00:00:00"/>
    <s v="INR"/>
    <n v="766484.34"/>
    <d v="2026-06-07T00:00:00"/>
    <d v="2026-04-24T00:00:00"/>
    <d v="2026-06-27T00:00:00"/>
    <s v="2000146212"/>
    <d v="2026-04-24T00:00:00"/>
    <m/>
    <m/>
    <s v="TOWER12A TUBULR3 LEG W PLT &amp; FNCE-FAB"/>
    <n v="689835.90599999996"/>
    <n v="7.6999999999999999E-2"/>
    <n v="64"/>
    <n v="9314"/>
    <n v="680521.90599999996"/>
    <m/>
    <m/>
    <m/>
    <m/>
    <m/>
    <m/>
    <n v="219233515.66"/>
  </r>
  <r>
    <n v="6"/>
    <n v="88"/>
    <s v="FABIND9INRDZI"/>
    <s v="RELIANCEIN"/>
    <s v="I"/>
    <s v="FI2627000191"/>
    <d v="2026-04-24T00:00:00"/>
    <s v="INR"/>
    <n v="1151810.98"/>
    <d v="2026-06-07T00:00:00"/>
    <d v="2026-04-27T00:00:00"/>
    <d v="2026-06-27T00:00:00"/>
    <s v="2000146217"/>
    <d v="2026-04-24T00:00:00"/>
    <m/>
    <m/>
    <s v="GBT60M11A-STR439M/STUBLR3L W FENCE"/>
    <n v="1036629.882"/>
    <n v="7.6999999999999999E-2"/>
    <n v="61"/>
    <n v="13340"/>
    <n v="1023289.882"/>
    <m/>
    <m/>
    <m/>
    <m/>
    <m/>
    <m/>
    <n v="218848189.02000001"/>
  </r>
  <r>
    <n v="6"/>
    <n v="89"/>
    <s v="FABIND9INRDZI"/>
    <s v="RELIANCEIN"/>
    <s v="I"/>
    <s v="FI2627000201"/>
    <d v="2026-04-26T00:00:00"/>
    <s v="INR"/>
    <n v="766484.34"/>
    <d v="2026-06-09T00:00:00"/>
    <d v="2026-04-27T00:00:00"/>
    <d v="2026-06-29T00:00:00"/>
    <s v="2000146236"/>
    <d v="2026-04-26T00:00:00"/>
    <m/>
    <m/>
    <s v="TOWER12A TUBULR3 LEG W PLT &amp; FNCE-FAB"/>
    <n v="689835.90599999996"/>
    <n v="7.6999999999999999E-2"/>
    <n v="63"/>
    <n v="9168"/>
    <n v="680667.90599999996"/>
    <m/>
    <m/>
    <m/>
    <m/>
    <m/>
    <m/>
    <n v="219233515.66"/>
  </r>
  <r>
    <n v="0"/>
    <n v="90"/>
    <s v="FABIND9INRDZI"/>
    <s v="SIEMENSLTD"/>
    <s v="I"/>
    <s v="FI2526007253"/>
    <d v="2025-12-29T00:00:00"/>
    <s v="INR"/>
    <n v="17142711.34"/>
    <d v="2026-04-28T00:00:00"/>
    <d v="2026-02-09T00:00:00"/>
    <d v="2026-05-18T00:00:00"/>
    <m/>
    <d v="2025-12-29T00:00:00"/>
    <m/>
    <m/>
    <m/>
    <n v="15428440.206"/>
    <n v="7.6999999999999999E-2"/>
    <n v="98"/>
    <n v="318967"/>
    <n v="15109473.206"/>
    <m/>
    <m/>
    <m/>
    <m/>
    <m/>
    <m/>
    <n v="66187288.659999996"/>
  </r>
  <r>
    <n v="0"/>
    <n v="91"/>
    <s v="FABIND9INRDZI"/>
    <s v="SIEMENSLTD"/>
    <s v="I"/>
    <s v="FI2526007571"/>
    <d v="2026-01-15T00:00:00"/>
    <s v="INR"/>
    <n v="40214"/>
    <d v="2026-05-15T00:00:00"/>
    <d v="2026-02-09T00:00:00"/>
    <d v="2026-06-04T00:00:00"/>
    <m/>
    <d v="2026-01-15T00:00:00"/>
    <m/>
    <m/>
    <m/>
    <n v="36192.6"/>
    <n v="7.6999999999999999E-2"/>
    <n v="115"/>
    <n v="878"/>
    <n v="35314.6"/>
    <m/>
    <m/>
    <m/>
    <m/>
    <m/>
    <m/>
    <n v="83289786"/>
  </r>
  <r>
    <n v="0"/>
    <n v="92"/>
    <s v="FABIND9INRDZI"/>
    <s v="SIEMENSLTD"/>
    <s v="I"/>
    <s v="FI2526007776"/>
    <d v="2026-01-21T00:00:00"/>
    <s v="INR"/>
    <n v="10602"/>
    <d v="2026-05-21T00:00:00"/>
    <d v="2026-02-09T00:00:00"/>
    <d v="2026-06-10T00:00:00"/>
    <m/>
    <d v="2026-01-21T00:00:00"/>
    <m/>
    <m/>
    <m/>
    <n v="9541.8000000000011"/>
    <n v="7.6999999999999999E-2"/>
    <n v="121"/>
    <n v="244"/>
    <n v="9297.8000000000011"/>
    <m/>
    <m/>
    <m/>
    <m/>
    <m/>
    <m/>
    <n v="83319398"/>
  </r>
  <r>
    <n v="0"/>
    <n v="93"/>
    <s v="FABIND9INRDZI"/>
    <s v="SIEMENSLTD"/>
    <s v="I"/>
    <s v="FI2526007863"/>
    <d v="2026-01-24T00:00:00"/>
    <s v="INR"/>
    <n v="4838730"/>
    <d v="2026-05-24T00:00:00"/>
    <d v="2026-02-09T00:00:00"/>
    <d v="2026-06-13T00:00:00"/>
    <m/>
    <d v="2026-01-24T00:00:00"/>
    <m/>
    <m/>
    <m/>
    <n v="4354857"/>
    <n v="7.6999999999999999E-2"/>
    <n v="124"/>
    <n v="113918"/>
    <n v="4240939"/>
    <m/>
    <m/>
    <m/>
    <m/>
    <m/>
    <m/>
    <n v="78491270"/>
  </r>
  <r>
    <n v="0"/>
    <n v="94"/>
    <s v="FABIND9INRDZI"/>
    <s v="SIEMENSLTD"/>
    <s v="I"/>
    <s v="FI2526008626"/>
    <d v="2026-02-19T00:00:00"/>
    <s v="INR"/>
    <n v="84594.2"/>
    <d v="2026-06-19T00:00:00"/>
    <d v="2026-04-17T00:00:00"/>
    <d v="2026-07-09T00:00:00"/>
    <m/>
    <d v="2026-02-19T00:00:00"/>
    <m/>
    <m/>
    <m/>
    <n v="76134.78"/>
    <n v="7.6999999999999999E-2"/>
    <n v="83"/>
    <n v="1333"/>
    <n v="74801.78"/>
    <m/>
    <m/>
    <m/>
    <m/>
    <m/>
    <m/>
    <n v="83245405.799999997"/>
  </r>
  <r>
    <n v="0"/>
    <n v="95"/>
    <s v="FABIND9INRDZI"/>
    <s v="SIEMENSLTD"/>
    <s v="I"/>
    <s v="FI2526008627"/>
    <d v="2026-02-19T00:00:00"/>
    <s v="INR"/>
    <n v="92346.8"/>
    <d v="2026-06-19T00:00:00"/>
    <d v="2026-04-17T00:00:00"/>
    <d v="2026-07-09T00:00:00"/>
    <m/>
    <d v="2026-02-19T00:00:00"/>
    <m/>
    <m/>
    <m/>
    <n v="83112.12000000001"/>
    <n v="7.6999999999999999E-2"/>
    <n v="83"/>
    <n v="1455"/>
    <n v="81657.12000000001"/>
    <m/>
    <m/>
    <m/>
    <m/>
    <m/>
    <m/>
    <n v="83237653.200000003"/>
  </r>
  <r>
    <n v="0"/>
    <n v="96"/>
    <s v="FABIND9INRDZI"/>
    <s v="SIEMENSLTD"/>
    <s v="I"/>
    <s v="FI2526008643"/>
    <d v="2026-02-20T00:00:00"/>
    <s v="INR"/>
    <n v="8340.24"/>
    <d v="2026-06-20T00:00:00"/>
    <d v="2026-04-17T00:00:00"/>
    <d v="2026-07-10T00:00:00"/>
    <m/>
    <d v="2026-02-20T00:00:00"/>
    <m/>
    <m/>
    <m/>
    <n v="7506.2160000000003"/>
    <n v="7.6999999999999999E-2"/>
    <n v="84"/>
    <n v="133"/>
    <n v="7373.2160000000003"/>
    <m/>
    <m/>
    <m/>
    <m/>
    <m/>
    <m/>
    <n v="83321659.760000005"/>
  </r>
  <r>
    <n v="0"/>
    <n v="97"/>
    <s v="FABIND9INRDZI"/>
    <s v="SIEMENSLTD"/>
    <s v="I"/>
    <s v="FI2526008847"/>
    <d v="2026-02-24T00:00:00"/>
    <s v="INR"/>
    <n v="1324019"/>
    <d v="2026-06-24T00:00:00"/>
    <d v="2026-04-17T00:00:00"/>
    <d v="2026-07-14T00:00:00"/>
    <m/>
    <d v="2026-02-24T00:00:00"/>
    <m/>
    <m/>
    <m/>
    <n v="1191617.1000000001"/>
    <n v="7.6999999999999999E-2"/>
    <n v="88"/>
    <n v="22122"/>
    <n v="1169495.1000000001"/>
    <m/>
    <m/>
    <m/>
    <m/>
    <m/>
    <m/>
    <n v="82005981"/>
  </r>
  <r>
    <n v="0"/>
    <n v="98"/>
    <s v="FABIND9INRDZI"/>
    <s v="SIEMENSLTD"/>
    <s v="I"/>
    <s v="FI2526009296"/>
    <d v="2026-03-10T00:00:00"/>
    <s v="INR"/>
    <n v="548932.46"/>
    <d v="2026-07-08T00:00:00"/>
    <d v="2026-04-17T00:00:00"/>
    <d v="2026-07-28T00:00:00"/>
    <m/>
    <d v="2026-03-10T00:00:00"/>
    <m/>
    <m/>
    <m/>
    <n v="494039.21399999998"/>
    <n v="7.6999999999999999E-2"/>
    <n v="102"/>
    <n v="10631"/>
    <n v="483408.21399999998"/>
    <m/>
    <m/>
    <m/>
    <m/>
    <m/>
    <m/>
    <n v="82781067.540000007"/>
  </r>
  <r>
    <n v="0"/>
    <n v="99"/>
    <s v="FABIND9INRDZI"/>
    <s v="SIEMENSLTD"/>
    <s v="I"/>
    <s v="FI2526009297"/>
    <d v="2026-03-10T00:00:00"/>
    <s v="INR"/>
    <n v="1132374.02"/>
    <d v="2026-07-08T00:00:00"/>
    <d v="2026-04-17T00:00:00"/>
    <d v="2026-07-28T00:00:00"/>
    <m/>
    <d v="2026-03-10T00:00:00"/>
    <m/>
    <m/>
    <m/>
    <n v="1019136.618"/>
    <n v="7.6999999999999999E-2"/>
    <n v="102"/>
    <n v="21930"/>
    <n v="997206.61800000002"/>
    <m/>
    <m/>
    <m/>
    <m/>
    <m/>
    <m/>
    <n v="82197625.980000004"/>
  </r>
  <r>
    <n v="0"/>
    <n v="100"/>
    <s v="FABIND9INRDZI"/>
    <s v="SIEMENSLTD"/>
    <s v="I"/>
    <s v="FI2526009375"/>
    <d v="2026-03-13T00:00:00"/>
    <s v="INR"/>
    <n v="2100392.92"/>
    <d v="2026-07-11T00:00:00"/>
    <d v="2026-04-17T00:00:00"/>
    <d v="2026-07-31T00:00:00"/>
    <m/>
    <d v="2026-03-13T00:00:00"/>
    <m/>
    <m/>
    <m/>
    <n v="1890353.628"/>
    <n v="7.6999999999999999E-2"/>
    <n v="105"/>
    <n v="41873"/>
    <n v="1848480.628"/>
    <m/>
    <m/>
    <m/>
    <m/>
    <m/>
    <m/>
    <n v="81229607.079999998"/>
  </r>
  <r>
    <n v="0"/>
    <n v="101"/>
    <s v="FABIND9INRDZI"/>
    <s v="SIEMENSLTD"/>
    <s v="I"/>
    <s v="FI2526009442"/>
    <d v="2026-03-16T00:00:00"/>
    <s v="INR"/>
    <n v="2956569.06"/>
    <d v="2026-07-14T00:00:00"/>
    <d v="2026-04-17T00:00:00"/>
    <d v="2026-08-03T00:00:00"/>
    <m/>
    <d v="2026-03-16T00:00:00"/>
    <m/>
    <m/>
    <m/>
    <n v="2660912.1540000001"/>
    <n v="7.6999999999999999E-2"/>
    <n v="108"/>
    <n v="60625"/>
    <n v="2600287.1540000001"/>
    <m/>
    <m/>
    <m/>
    <m/>
    <m/>
    <m/>
    <n v="80373430.939999998"/>
  </r>
  <r>
    <n v="0"/>
    <n v="102"/>
    <s v="FABIND9INRDZI"/>
    <s v="SIEMENSLTD"/>
    <s v="I"/>
    <s v="FI2526009688"/>
    <d v="2026-03-26T00:00:00"/>
    <s v="INR"/>
    <n v="451109.28"/>
    <d v="2026-07-24T00:00:00"/>
    <d v="2026-04-17T00:00:00"/>
    <d v="2026-08-13T00:00:00"/>
    <m/>
    <d v="2026-03-26T00:00:00"/>
    <m/>
    <m/>
    <m/>
    <n v="405998.35200000001"/>
    <n v="7.6999999999999999E-2"/>
    <n v="118"/>
    <n v="10107"/>
    <n v="395891.35200000001"/>
    <m/>
    <m/>
    <m/>
    <m/>
    <m/>
    <m/>
    <n v="82878890.719999999"/>
  </r>
  <r>
    <n v="0"/>
    <n v="103"/>
    <s v="FABIND9INRDZI"/>
    <s v="SIEMENSLTD"/>
    <s v="I"/>
    <s v="FI2526009689"/>
    <d v="2026-03-26T00:00:00"/>
    <s v="INR"/>
    <n v="155809.56"/>
    <d v="2026-07-24T00:00:00"/>
    <d v="2026-04-17T00:00:00"/>
    <d v="2026-08-13T00:00:00"/>
    <m/>
    <d v="2026-03-26T00:00:00"/>
    <m/>
    <m/>
    <m/>
    <n v="140228.60399999999"/>
    <n v="7.6999999999999999E-2"/>
    <n v="118"/>
    <n v="3491"/>
    <n v="136737.60399999999"/>
    <m/>
    <m/>
    <m/>
    <m/>
    <m/>
    <m/>
    <n v="83174190.439999998"/>
  </r>
  <r>
    <n v="0"/>
    <n v="104"/>
    <s v="FABIND9INRDZI"/>
    <s v="SIEMENSLTD"/>
    <s v="I"/>
    <s v="FI2526009710"/>
    <d v="2026-03-30T00:00:00"/>
    <s v="INR"/>
    <n v="1625674.2"/>
    <d v="2026-07-28T00:00:00"/>
    <d v="2026-04-17T00:00:00"/>
    <d v="2026-08-17T00:00:00"/>
    <m/>
    <d v="2026-03-30T00:00:00"/>
    <m/>
    <m/>
    <m/>
    <n v="1463106.78"/>
    <n v="7.6999999999999999E-2"/>
    <n v="122"/>
    <n v="37656"/>
    <n v="1425450.78"/>
    <m/>
    <m/>
    <m/>
    <m/>
    <m/>
    <m/>
    <n v="81704325.799999997"/>
  </r>
  <r>
    <n v="0"/>
    <n v="105"/>
    <s v="FABIND9INRDZI"/>
    <s v="SIEMENSLTD"/>
    <s v="I"/>
    <s v="FI2526009711"/>
    <d v="2026-03-30T00:00:00"/>
    <s v="INR"/>
    <n v="1627034.74"/>
    <d v="2026-07-28T00:00:00"/>
    <d v="2026-04-17T00:00:00"/>
    <d v="2026-08-17T00:00:00"/>
    <m/>
    <d v="2026-03-30T00:00:00"/>
    <m/>
    <m/>
    <m/>
    <n v="1464331.2660000001"/>
    <n v="7.6999999999999999E-2"/>
    <n v="122"/>
    <n v="37687"/>
    <n v="1426644.2660000001"/>
    <m/>
    <m/>
    <m/>
    <m/>
    <m/>
    <m/>
    <n v="81702965.260000005"/>
  </r>
  <r>
    <n v="1"/>
    <n v="106"/>
    <s v="FABIND9INRDZI"/>
    <s v="SIEMENSLTD"/>
    <s v="I"/>
    <s v="FI2627000103"/>
    <d v="2026-04-17T00:00:00"/>
    <s v="INR"/>
    <n v="5560.16"/>
    <d v="2026-08-15T00:00:00"/>
    <d v="2026-04-23T00:00:00"/>
    <d v="2026-09-04T00:00:00"/>
    <n v="91749"/>
    <d v="2026-04-17T00:00:00"/>
    <m/>
    <m/>
    <s v="C1B1124001756002-Suprt Plate Bsbr 2 Bsbr"/>
    <n v="5004.1440000000002"/>
    <n v="7.6999999999999999E-2"/>
    <n v="134"/>
    <n v="141"/>
    <n v="4863.1440000000002"/>
    <m/>
    <m/>
    <m/>
    <m/>
    <m/>
    <m/>
    <n v="83324439.840000004"/>
  </r>
  <r>
    <n v="1"/>
    <n v="107"/>
    <s v="FABIND9INRDZI"/>
    <s v="SIEMENSLTD"/>
    <s v="I"/>
    <s v="FI2627000138"/>
    <d v="2026-04-21T00:00:00"/>
    <s v="INR"/>
    <n v="357129.36"/>
    <d v="2026-08-19T00:00:00"/>
    <d v="2026-04-23T00:00:00"/>
    <d v="2026-09-08T00:00:00"/>
    <s v="NSK/7547"/>
    <d v="2026-04-21T00:00:00"/>
    <m/>
    <m/>
    <s v="PTD5903864004-Struct ISA 65X65X6"/>
    <n v="321416.424"/>
    <n v="7.6999999999999999E-2"/>
    <n v="138"/>
    <n v="9357"/>
    <n v="312059.424"/>
    <m/>
    <m/>
    <m/>
    <m/>
    <m/>
    <m/>
    <n v="82972870.640000001"/>
  </r>
  <r>
    <n v="1"/>
    <n v="108"/>
    <s v="FABIND9INRDZI"/>
    <s v="SIEMENSLTD"/>
    <s v="I"/>
    <s v="FI2627000141"/>
    <d v="2026-04-21T00:00:00"/>
    <s v="INR"/>
    <n v="418134.18"/>
    <d v="2026-08-19T00:00:00"/>
    <d v="2026-04-23T00:00:00"/>
    <d v="2026-09-08T00:00:00"/>
    <s v="NSK/7546"/>
    <d v="2026-04-21T00:00:00"/>
    <m/>
    <m/>
    <s v="PTD5903894001-Struct ISA 7575X8-3230L"/>
    <n v="376320.76199999999"/>
    <n v="7.6999999999999999E-2"/>
    <n v="138"/>
    <n v="10956"/>
    <n v="365364.76199999999"/>
    <m/>
    <m/>
    <m/>
    <m/>
    <m/>
    <m/>
    <n v="82911865.819999993"/>
  </r>
  <r>
    <n v="1"/>
    <n v="109"/>
    <s v="FABIND9INRDZI"/>
    <s v="SIEMENSLTD"/>
    <s v="I"/>
    <s v="FI2627000145"/>
    <d v="2026-04-21T00:00:00"/>
    <s v="INR"/>
    <n v="479139"/>
    <d v="2026-08-19T00:00:00"/>
    <d v="2026-04-23T00:00:00"/>
    <d v="2026-09-08T00:00:00"/>
    <s v="NSK/7545"/>
    <d v="2026-04-21T00:00:00"/>
    <m/>
    <m/>
    <s v="PTD5903754003-FB M39 X1080"/>
    <n v="431225.10000000003"/>
    <n v="7.6999999999999999E-2"/>
    <n v="138"/>
    <n v="12554"/>
    <n v="418671.10000000003"/>
    <m/>
    <m/>
    <m/>
    <m/>
    <m/>
    <m/>
    <n v="82850861"/>
  </r>
  <r>
    <n v="1"/>
    <n v="110"/>
    <s v="FABIND9INRDZI"/>
    <s v="SIEMENSLTD"/>
    <s v="I"/>
    <s v="FI2627000147"/>
    <d v="2026-04-21T00:00:00"/>
    <s v="INR"/>
    <n v="692866.5"/>
    <d v="2026-08-19T00:00:00"/>
    <d v="2026-04-23T00:00:00"/>
    <d v="2026-09-08T00:00:00"/>
    <s v="NSK/7548"/>
    <d v="2026-04-21T00:00:00"/>
    <m/>
    <m/>
    <s v="PTD5903754002 FB M36X1080 Non-PG 420 KV"/>
    <n v="623579.85"/>
    <n v="7.6999999999999999E-2"/>
    <n v="138"/>
    <n v="18154"/>
    <n v="605425.85"/>
    <m/>
    <m/>
    <m/>
    <m/>
    <m/>
    <m/>
    <n v="82637133.5"/>
  </r>
  <r>
    <n v="2"/>
    <n v="111"/>
    <s v="FABIND9INRDZI"/>
    <s v="SIEMENSLTD"/>
    <s v="I"/>
    <s v="FI2627000162"/>
    <d v="2026-04-22T00:00:00"/>
    <s v="INR"/>
    <n v="155809.56"/>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s v="SIEMENSLTD"/>
    <s v="I"/>
    <s v="FI2627000163"/>
    <d v="2026-04-22T00:00:00"/>
    <s v="INR"/>
    <n v="230361.96"/>
    <d v="2026-08-20T00:00:00"/>
    <d v="2026-04-23T00:00:00"/>
    <d v="2026-09-09T00:00:00"/>
    <s v="NSK/7582"/>
    <d v="2026-04-22T00:00:00"/>
    <m/>
    <m/>
    <s v="PTD5903542001-Platform wt Ladder 1450 Ht"/>
    <n v="207325.764"/>
    <n v="7.6999999999999999E-2"/>
    <n v="139"/>
    <n v="6079"/>
    <n v="201246.764"/>
    <m/>
    <m/>
    <m/>
    <m/>
    <m/>
    <m/>
    <n v="83099638.040000007"/>
  </r>
  <r>
    <n v="3"/>
    <n v="113"/>
    <s v="FABIND9INRDZI"/>
    <s v="SIEMENSLTD"/>
    <s v="I"/>
    <s v="FI2627000166"/>
    <d v="2026-04-23T00:00:00"/>
    <s v="INR"/>
    <n v="129841.3"/>
    <d v="2026-08-21T00:00:00"/>
    <d v="2026-04-23T00:00:00"/>
    <d v="2026-09-10T00:00:00"/>
    <s v="NSK/7583"/>
    <d v="2026-04-23T00:00:00"/>
    <m/>
    <m/>
    <s v="PTD5903542001-Platform wt Ladder 1450 Ht"/>
    <n v="116857.17"/>
    <n v="7.6999999999999999E-2"/>
    <n v="140"/>
    <n v="3451"/>
    <n v="113406.17"/>
    <m/>
    <m/>
    <m/>
    <m/>
    <m/>
    <m/>
    <n v="83200158.700000003"/>
  </r>
  <r>
    <n v="3"/>
    <n v="114"/>
    <s v="FABIND9INRDZI"/>
    <s v="SIEMENSLTD"/>
    <s v="I"/>
    <s v="FI2627000174"/>
    <d v="2026-04-23T00:00:00"/>
    <s v="INR"/>
    <n v="150509"/>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Invoice Disc Tranch"/>
    <s v="No."/>
    <s v="Account Code"/>
    <s v="Debtor Code"/>
    <s v="Instrument Type"/>
    <s v="Instrument Number"/>
    <s v="Instrument Date"/>
    <s v="Instrument Currency"/>
    <s v="Instrument Amount"/>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s v="INDUSTOWER"/>
    <s v="I"/>
    <s v="FI2627000000"/>
    <d v="2026-04-02T00:00:00"/>
    <s v="INR"/>
    <n v="561855.81999999995"/>
    <d v="2026-05-12T00:00:00"/>
    <d v="2026-04-17T00:00:00"/>
    <d v="2026-06-01T00:00:00"/>
    <n v="10001"/>
    <d v="2026-04-02T00:00:00"/>
    <m/>
    <m/>
    <s v="NBT 40Mtr Tower"/>
    <n v="505670.23799999995"/>
    <n v="7.6999999999999999E-2"/>
    <n v="45"/>
    <n v="4800"/>
    <n v="500870.23799999995"/>
    <m/>
    <m/>
    <m/>
    <m/>
    <n v="46174"/>
    <n v="4925227"/>
    <n v="274438144.18000001"/>
  </r>
  <r>
    <n v="1"/>
    <n v="2"/>
    <s v="FABIND9INRDZI"/>
    <s v="INDUSTOWER"/>
    <s v="I"/>
    <s v="FI2627000001"/>
    <d v="2026-04-02T00:00:00"/>
    <s v="INR"/>
    <n v="561855.81999999995"/>
    <d v="2026-05-12T00:00:00"/>
    <d v="2026-04-17T00:00:00"/>
    <d v="2026-06-01T00:00:00"/>
    <n v="10003"/>
    <d v="2026-04-02T00:00:00"/>
    <m/>
    <m/>
    <s v="NBT 40Mtr Tower"/>
    <n v="505670.23799999995"/>
    <n v="7.6999999999999999E-2"/>
    <n v="45"/>
    <n v="4800"/>
    <n v="500870.23799999995"/>
    <m/>
    <m/>
    <m/>
    <m/>
    <m/>
    <m/>
    <n v="274438144.18000001"/>
  </r>
  <r>
    <n v="1"/>
    <n v="3"/>
    <s v="FABIND9INRDZI"/>
    <s v="INDUSTOWER"/>
    <s v="I"/>
    <s v="FI2627000002"/>
    <d v="2026-04-02T00:00:00"/>
    <s v="INR"/>
    <n v="561855.81999999995"/>
    <d v="2026-05-12T00:00:00"/>
    <d v="2026-04-17T00:00:00"/>
    <d v="2026-06-01T00:00:00"/>
    <n v="10002"/>
    <d v="2026-04-02T00:00:00"/>
    <m/>
    <m/>
    <s v="NBT 40Mtr Tower"/>
    <n v="505670.23799999995"/>
    <n v="7.6999999999999999E-2"/>
    <n v="45"/>
    <n v="4800"/>
    <n v="500870.23799999995"/>
    <m/>
    <m/>
    <m/>
    <m/>
    <m/>
    <m/>
    <n v="274438144.18000001"/>
  </r>
  <r>
    <n v="1"/>
    <n v="4"/>
    <s v="FABIND9INRDZI"/>
    <s v="INDUSTOWER"/>
    <s v="I"/>
    <s v="FI2627000003"/>
    <d v="2026-04-02T00:00:00"/>
    <s v="INR"/>
    <n v="561855.81999999995"/>
    <d v="2026-05-12T00:00:00"/>
    <d v="2026-04-17T00:00:00"/>
    <d v="2026-06-01T00:00:00"/>
    <n v="10004"/>
    <d v="2026-04-02T00:00:00"/>
    <m/>
    <m/>
    <s v="NBT 40Mtr Tower"/>
    <n v="505670.23799999995"/>
    <n v="7.6999999999999999E-2"/>
    <n v="45"/>
    <n v="4800"/>
    <n v="500870.23799999995"/>
    <m/>
    <m/>
    <m/>
    <m/>
    <m/>
    <m/>
    <n v="274438144.18000001"/>
  </r>
  <r>
    <n v="1"/>
    <n v="5"/>
    <s v="FABIND9INRDZI"/>
    <s v="INDUSTOWER"/>
    <s v="I"/>
    <s v="FI2627000005"/>
    <d v="2026-04-03T00:00:00"/>
    <s v="INR"/>
    <n v="561855.81999999995"/>
    <d v="2026-05-13T00:00:00"/>
    <d v="2026-04-17T00:00:00"/>
    <d v="2026-06-02T00:00:00"/>
    <n v="10005"/>
    <d v="2026-04-03T00:00:00"/>
    <m/>
    <m/>
    <s v="NBT 40Mtr Tower"/>
    <n v="505670.23799999995"/>
    <n v="7.6999999999999999E-2"/>
    <n v="46"/>
    <n v="4907"/>
    <n v="500763.23799999995"/>
    <m/>
    <m/>
    <m/>
    <m/>
    <m/>
    <m/>
    <n v="274438144.18000001"/>
  </r>
  <r>
    <n v="1"/>
    <n v="6"/>
    <s v="FABIND9INRDZI"/>
    <s v="INDUSTOWER"/>
    <s v="I"/>
    <s v="FI2627000006"/>
    <d v="2026-04-03T00:00:00"/>
    <s v="INR"/>
    <n v="561855.81999999995"/>
    <d v="2026-05-13T00:00:00"/>
    <d v="2026-04-17T00:00:00"/>
    <d v="2026-06-02T00:00:00"/>
    <n v="10006"/>
    <d v="2026-04-03T00:00:00"/>
    <m/>
    <m/>
    <s v="NBT 40Mtr Tower"/>
    <n v="505670.23799999995"/>
    <n v="7.6999999999999999E-2"/>
    <n v="46"/>
    <n v="4907"/>
    <n v="500763.23799999995"/>
    <m/>
    <m/>
    <m/>
    <m/>
    <m/>
    <m/>
    <n v="274438144.18000001"/>
  </r>
  <r>
    <n v="1"/>
    <n v="7"/>
    <s v="FABIND9INRDZI"/>
    <s v="INDUSTOWER"/>
    <s v="I"/>
    <s v="FI2627000016"/>
    <d v="2026-04-03T00:00:00"/>
    <s v="INR"/>
    <n v="442595.58"/>
    <d v="2026-05-13T00:00:00"/>
    <d v="2026-04-17T00:00:00"/>
    <d v="2026-06-02T00:00:00"/>
    <n v="10007"/>
    <d v="2026-04-03T00:00:00"/>
    <m/>
    <m/>
    <s v="TOWER GBT 3Legged VM 30M 170KMPH"/>
    <n v="398336.022"/>
    <n v="7.6999999999999999E-2"/>
    <n v="46"/>
    <n v="3865"/>
    <n v="394471.022"/>
    <m/>
    <m/>
    <m/>
    <m/>
    <m/>
    <m/>
    <n v="274557404.42000002"/>
  </r>
  <r>
    <n v="1"/>
    <n v="8"/>
    <s v="FABIND9INRDZI"/>
    <s v="INDUSTOWER"/>
    <s v="I"/>
    <s v="FI2627000027"/>
    <d v="2026-04-05T00:00:00"/>
    <s v="INR"/>
    <n v="752314.9"/>
    <d v="2026-05-15T00:00:00"/>
    <d v="2026-04-17T00:00:00"/>
    <d v="2026-06-04T00:00:00"/>
    <n v="78287"/>
    <d v="2026-04-05T00:00:00"/>
    <m/>
    <m/>
    <s v="BIL - Tower GBT 40M 200 KMPH"/>
    <n v="677083.41"/>
    <n v="7.6999999999999999E-2"/>
    <n v="48"/>
    <n v="6856"/>
    <n v="670227.41"/>
    <m/>
    <m/>
    <m/>
    <m/>
    <m/>
    <m/>
    <n v="274247685.10000002"/>
  </r>
  <r>
    <n v="1"/>
    <n v="9"/>
    <s v="FABIND9INRDZI"/>
    <s v="INDUSTOWER"/>
    <s v="I"/>
    <s v="FI2627000030"/>
    <d v="2026-04-05T00:00:00"/>
    <s v="INR"/>
    <n v="689850.92"/>
    <d v="2026-05-15T00:00:00"/>
    <d v="2026-04-17T00:00:00"/>
    <d v="2026-06-04T00:00:00"/>
    <n v="10010"/>
    <d v="2026-04-05T00:00:00"/>
    <m/>
    <m/>
    <s v="INDUS SOLAR STRUCTURE(2PX5-30/20 DEGREE)"/>
    <n v="620865.8280000001"/>
    <n v="7.6999999999999999E-2"/>
    <n v="48"/>
    <n v="6287"/>
    <n v="614578.8280000001"/>
    <m/>
    <m/>
    <m/>
    <m/>
    <m/>
    <m/>
    <n v="274310149.07999998"/>
  </r>
  <r>
    <n v="1"/>
    <n v="10"/>
    <s v="FABIND9INRDZI"/>
    <s v="INDUSTOWER"/>
    <s v="I"/>
    <s v="FI2627000031"/>
    <d v="2026-04-05T00:00:00"/>
    <s v="INR"/>
    <n v="689850.92"/>
    <d v="2026-05-15T00:00:00"/>
    <d v="2026-04-17T00:00:00"/>
    <d v="2026-06-04T00:00:00"/>
    <n v="10011"/>
    <d v="2026-04-05T00:00:00"/>
    <m/>
    <m/>
    <s v="INDUS SOLAR STRUCTURE(2PX5-30/20 DEGREE)"/>
    <n v="620865.8280000001"/>
    <n v="7.6999999999999999E-2"/>
    <n v="48"/>
    <n v="6287"/>
    <n v="614578.8280000001"/>
    <m/>
    <m/>
    <m/>
    <m/>
    <m/>
    <m/>
    <n v="274310149.07999998"/>
  </r>
  <r>
    <n v="1"/>
    <n v="11"/>
    <s v="FABIND9INRDZI"/>
    <s v="INDUSTOWER"/>
    <s v="I"/>
    <s v="FI2627000032"/>
    <d v="2026-04-05T00:00:00"/>
    <s v="INR"/>
    <n v="232106"/>
    <d v="2026-05-15T00:00:00"/>
    <d v="2026-04-17T00:00:00"/>
    <d v="2026-06-04T00:00:00"/>
    <n v="10014"/>
    <d v="2026-04-05T00:00:00"/>
    <m/>
    <m/>
    <s v="CIP RITA 15MTR"/>
    <n v="208895.4"/>
    <n v="7.6999999999999999E-2"/>
    <n v="48"/>
    <n v="2115"/>
    <n v="206780.4"/>
    <m/>
    <m/>
    <m/>
    <m/>
    <m/>
    <m/>
    <n v="274767894"/>
  </r>
  <r>
    <n v="2"/>
    <n v="12"/>
    <s v="FABIND9INRDZI"/>
    <s v="INDUSTOWER"/>
    <s v="I"/>
    <s v="FI2627000043"/>
    <d v="2026-04-06T00:00:00"/>
    <s v="INR"/>
    <n v="647363.34"/>
    <d v="2026-05-16T00:00:00"/>
    <d v="2026-04-17T00:00:00"/>
    <d v="2026-06-05T00:00:00"/>
    <n v="10016"/>
    <d v="2026-04-06T00:00:00"/>
    <m/>
    <m/>
    <s v="TowerGBT-3 Leg Tubular VT30M 200 KMPH"/>
    <n v="582627.00599999994"/>
    <n v="7.6999999999999999E-2"/>
    <n v="49"/>
    <n v="6023"/>
    <n v="576604.00599999994"/>
    <m/>
    <m/>
    <m/>
    <m/>
    <m/>
    <m/>
    <n v="274352636.66000003"/>
  </r>
  <r>
    <n v="2"/>
    <n v="13"/>
    <s v="FABIND9INRDZI"/>
    <s v="INDUSTOWER"/>
    <s v="I"/>
    <s v="FI2627000044"/>
    <d v="2026-04-06T00:00:00"/>
    <s v="INR"/>
    <n v="647363.34"/>
    <d v="2026-05-16T00:00:00"/>
    <d v="2026-04-17T00:00:00"/>
    <d v="2026-06-05T00:00:00"/>
    <n v="10017"/>
    <d v="2026-04-06T00:00:00"/>
    <m/>
    <m/>
    <s v="TowerGBT-3 Leg Tubular VT30M 200 KMPH"/>
    <n v="582627.00599999994"/>
    <n v="7.6999999999999999E-2"/>
    <n v="49"/>
    <n v="6023"/>
    <n v="576604.00599999994"/>
    <m/>
    <m/>
    <m/>
    <m/>
    <m/>
    <m/>
    <n v="274352636.66000003"/>
  </r>
  <r>
    <n v="2"/>
    <n v="14"/>
    <s v="FABIND9INRDZI"/>
    <s v="INDUSTOWER"/>
    <s v="I"/>
    <s v="FI2627000045"/>
    <d v="2026-04-06T00:00:00"/>
    <s v="INR"/>
    <n v="647363.34"/>
    <d v="2026-05-16T00:00:00"/>
    <d v="2026-04-17T00:00:00"/>
    <d v="2026-06-05T00:00:00"/>
    <n v="10018"/>
    <d v="2026-04-06T00:00:00"/>
    <m/>
    <m/>
    <s v="TowerGBT-3 Leg Tubular VT30M 200 KMPH"/>
    <n v="582627.00599999994"/>
    <n v="7.6999999999999999E-2"/>
    <n v="49"/>
    <n v="6023"/>
    <n v="576604.00599999994"/>
    <m/>
    <m/>
    <m/>
    <m/>
    <m/>
    <m/>
    <n v="274352636.66000003"/>
  </r>
  <r>
    <n v="2"/>
    <n v="15"/>
    <s v="FABIND9INRDZI"/>
    <s v="INDUSTOWER"/>
    <s v="I"/>
    <s v="FI2627000047"/>
    <d v="2026-04-06T00:00:00"/>
    <s v="INR"/>
    <n v="647363.34"/>
    <d v="2026-05-16T00:00:00"/>
    <d v="2026-04-17T00:00:00"/>
    <d v="2026-06-05T00:00:00"/>
    <n v="10019"/>
    <d v="2026-04-06T00:00:00"/>
    <m/>
    <m/>
    <s v="TowerGBT-3 Leg Tubular VT30M 200 KMPH"/>
    <n v="582627.00599999994"/>
    <n v="7.6999999999999999E-2"/>
    <n v="49"/>
    <n v="6023"/>
    <n v="576604.00599999994"/>
    <m/>
    <m/>
    <m/>
    <m/>
    <m/>
    <m/>
    <n v="274352636.66000003"/>
  </r>
  <r>
    <n v="3"/>
    <n v="16"/>
    <s v="FABIND9INRDZI"/>
    <s v="INDUSTOWER"/>
    <s v="I"/>
    <s v="FI2627000052"/>
    <d v="2026-04-08T00:00:00"/>
    <s v="INR"/>
    <n v="647363.34"/>
    <d v="2026-05-18T00:00:00"/>
    <d v="2026-04-17T00:00:00"/>
    <d v="2026-06-07T00:00:00"/>
    <n v="10020"/>
    <d v="2026-04-08T00:00:00"/>
    <m/>
    <m/>
    <s v="TowerGBT-3 Leg Tubular VT30M 200 KMPH"/>
    <n v="582627.00599999994"/>
    <n v="7.6999999999999999E-2"/>
    <n v="51"/>
    <n v="6268"/>
    <n v="576359.00599999994"/>
    <m/>
    <m/>
    <m/>
    <m/>
    <m/>
    <m/>
    <n v="274352636.66000003"/>
  </r>
  <r>
    <n v="3"/>
    <n v="17"/>
    <s v="FABIND9INRDZI"/>
    <s v="INDUSTOWER"/>
    <s v="I"/>
    <s v="FI2627000063"/>
    <d v="2026-04-10T00:00:00"/>
    <s v="INR"/>
    <n v="774998.04"/>
    <d v="2026-05-20T00:00:00"/>
    <d v="2026-04-17T00:00:00"/>
    <d v="2026-06-09T00:00:00"/>
    <n v="778"/>
    <d v="2026-04-10T00:00:00"/>
    <m/>
    <m/>
    <s v="BIL - Tower GBT 40M 200 KMPH"/>
    <n v="697498.23600000003"/>
    <n v="7.6999999999999999E-2"/>
    <n v="53"/>
    <n v="7799"/>
    <n v="689699.23600000003"/>
    <m/>
    <m/>
    <m/>
    <m/>
    <m/>
    <m/>
    <n v="274225001.95999998"/>
  </r>
  <r>
    <n v="3"/>
    <n v="18"/>
    <s v="FABIND9INRDZI"/>
    <s v="INDUSTOWER"/>
    <s v="I"/>
    <s v="FI2627000064"/>
    <d v="2026-04-10T00:00:00"/>
    <s v="INR"/>
    <n v="774998.04"/>
    <d v="2026-05-20T00:00:00"/>
    <d v="2026-04-17T00:00:00"/>
    <d v="2026-06-09T00:00:00"/>
    <n v="10024"/>
    <d v="2026-04-10T00:00:00"/>
    <m/>
    <m/>
    <s v="BIL - Tower GBT 40M 200 KMPH"/>
    <n v="697498.23600000003"/>
    <n v="7.6999999999999999E-2"/>
    <n v="53"/>
    <n v="7799"/>
    <n v="689699.23600000003"/>
    <m/>
    <m/>
    <m/>
    <m/>
    <m/>
    <m/>
    <n v="274225001.95999998"/>
  </r>
  <r>
    <n v="3"/>
    <n v="19"/>
    <s v="FABIND9INRDZI"/>
    <s v="INDUSTOWER"/>
    <s v="I"/>
    <s v="FI2627000065"/>
    <d v="2026-04-10T00:00:00"/>
    <s v="INR"/>
    <n v="774998.04"/>
    <d v="2026-05-20T00:00:00"/>
    <d v="2026-04-17T00:00:00"/>
    <d v="2026-06-09T00:00:00"/>
    <n v="779"/>
    <d v="2026-04-10T00:00:00"/>
    <m/>
    <m/>
    <s v="BIL - Tower GBT 40M 200 KMPH"/>
    <n v="697498.23600000003"/>
    <n v="7.6999999999999999E-2"/>
    <n v="53"/>
    <n v="7799"/>
    <n v="689699.23600000003"/>
    <m/>
    <m/>
    <m/>
    <m/>
    <m/>
    <m/>
    <n v="274225001.95999998"/>
  </r>
  <r>
    <n v="3"/>
    <n v="20"/>
    <s v="FABIND9INRDZI"/>
    <s v="INDUSTOWER"/>
    <s v="I"/>
    <s v="FI2627000066"/>
    <d v="2026-04-10T00:00:00"/>
    <s v="INR"/>
    <n v="774998.04"/>
    <d v="2026-05-20T00:00:00"/>
    <d v="2026-04-17T00:00:00"/>
    <d v="2026-06-09T00:00:00"/>
    <n v="10025"/>
    <d v="2026-04-10T00:00:00"/>
    <m/>
    <m/>
    <s v="BIL - Tower GBT 40M 200 KMPH"/>
    <n v="697498.23600000003"/>
    <n v="7.6999999999999999E-2"/>
    <n v="53"/>
    <n v="7799"/>
    <n v="689699.23600000003"/>
    <m/>
    <m/>
    <m/>
    <m/>
    <m/>
    <m/>
    <n v="274225001.95999998"/>
  </r>
  <r>
    <n v="3"/>
    <n v="21"/>
    <s v="FABIND9INRDZI"/>
    <s v="INDUSTOWER"/>
    <s v="I"/>
    <s v="FI2627000067"/>
    <d v="2026-04-10T00:00:00"/>
    <s v="INR"/>
    <n v="774998.04"/>
    <d v="2026-05-20T00:00:00"/>
    <d v="2026-04-17T00:00:00"/>
    <d v="2026-06-09T00:00:00"/>
    <n v="10026"/>
    <d v="2026-04-10T00:00:00"/>
    <m/>
    <m/>
    <s v="BIL - Tower GBT 40M 200 KMPH"/>
    <n v="697498.23600000003"/>
    <n v="7.6999999999999999E-2"/>
    <n v="53"/>
    <n v="7799"/>
    <n v="689699.23600000003"/>
    <m/>
    <m/>
    <m/>
    <m/>
    <m/>
    <m/>
    <n v="274225001.95999998"/>
  </r>
  <r>
    <n v="3"/>
    <n v="22"/>
    <s v="FABIND9INRDZI"/>
    <s v="INDUSTOWER"/>
    <s v="I"/>
    <s v="FI2627000069"/>
    <d v="2026-04-12T00:00:00"/>
    <s v="INR"/>
    <n v="647363.34"/>
    <d v="2026-05-22T00:00:00"/>
    <d v="2026-04-17T00:00:00"/>
    <d v="2026-06-11T00:00:00"/>
    <n v="780"/>
    <d v="2026-04-12T00:00:00"/>
    <m/>
    <m/>
    <s v="TowerGBT-3 Leg Tubular VT30M 200 KMPH"/>
    <n v="582627.00599999994"/>
    <n v="7.6999999999999999E-2"/>
    <n v="55"/>
    <n v="6760"/>
    <n v="575867.00599999994"/>
    <m/>
    <m/>
    <m/>
    <m/>
    <m/>
    <m/>
    <n v="274352636.66000003"/>
  </r>
  <r>
    <n v="3"/>
    <n v="23"/>
    <s v="FABIND9INRDZI"/>
    <s v="INDUSTOWER"/>
    <s v="I"/>
    <s v="FI2627000070"/>
    <d v="2026-04-12T00:00:00"/>
    <s v="INR"/>
    <n v="147186.12"/>
    <d v="2026-05-22T00:00:00"/>
    <d v="2026-04-17T00:00:00"/>
    <d v="2026-06-11T00:00:00"/>
    <n v="781"/>
    <d v="2026-04-12T00:00:00"/>
    <m/>
    <m/>
    <s v="Cast In part GBT-3L TBLR VT30M 200KMPH"/>
    <n v="132467.508"/>
    <n v="7.6999999999999999E-2"/>
    <n v="55"/>
    <n v="1537"/>
    <n v="130930.508"/>
    <m/>
    <m/>
    <m/>
    <m/>
    <m/>
    <m/>
    <n v="274852813.88"/>
  </r>
  <r>
    <n v="3"/>
    <n v="24"/>
    <s v="FABIND9INRDZI"/>
    <s v="INDUSTOWER"/>
    <s v="I"/>
    <s v="FI2627000071"/>
    <d v="2026-04-12T00:00:00"/>
    <s v="INR"/>
    <n v="774998.04"/>
    <d v="2026-05-22T00:00:00"/>
    <d v="2026-04-17T00:00:00"/>
    <d v="2026-06-11T00:00:00"/>
    <n v="10030"/>
    <d v="2026-04-12T00:00:00"/>
    <m/>
    <m/>
    <s v="BIL - Tower GBT 40M 200 KMPH"/>
    <n v="697498.23600000003"/>
    <n v="7.6999999999999999E-2"/>
    <n v="55"/>
    <n v="8093"/>
    <n v="689405.23600000003"/>
    <m/>
    <m/>
    <m/>
    <m/>
    <m/>
    <m/>
    <n v="274225001.95999998"/>
  </r>
  <r>
    <n v="3"/>
    <n v="25"/>
    <s v="FABIND9INRDZI"/>
    <s v="INDUSTOWER"/>
    <s v="I"/>
    <s v="FI2627000072"/>
    <d v="2026-04-12T00:00:00"/>
    <s v="INR"/>
    <n v="774998.04"/>
    <d v="2026-05-22T00:00:00"/>
    <d v="2026-04-17T00:00:00"/>
    <d v="2026-06-11T00:00:00"/>
    <n v="10031"/>
    <d v="2026-04-12T00:00:00"/>
    <m/>
    <m/>
    <s v="BIL - Tower GBT 40M 200 KMPH"/>
    <n v="697498.23600000003"/>
    <n v="7.6999999999999999E-2"/>
    <n v="55"/>
    <n v="8093"/>
    <n v="689405.23600000003"/>
    <m/>
    <m/>
    <m/>
    <m/>
    <m/>
    <m/>
    <n v="274225001.95999998"/>
  </r>
  <r>
    <n v="3"/>
    <n v="26"/>
    <s v="FABIND9INRDZI"/>
    <s v="INDUSTOWER"/>
    <s v="I"/>
    <s v="FI2627000077"/>
    <d v="2026-04-13T00:00:00"/>
    <s v="INR"/>
    <n v="774998.04"/>
    <d v="2026-05-23T00:00:00"/>
    <d v="2026-04-17T00:00:00"/>
    <d v="2026-06-12T00:00:00"/>
    <n v="78501"/>
    <d v="2026-04-13T00:00:00"/>
    <m/>
    <m/>
    <s v="BIL - Tower GBT 40M 200 KMPH"/>
    <n v="697498.23600000003"/>
    <n v="7.6999999999999999E-2"/>
    <n v="56"/>
    <n v="8240"/>
    <n v="689258.23600000003"/>
    <m/>
    <m/>
    <m/>
    <m/>
    <m/>
    <m/>
    <n v="274225001.95999998"/>
  </r>
  <r>
    <n v="3"/>
    <n v="27"/>
    <s v="FABIND9INRDZI"/>
    <s v="INDUSTOWER"/>
    <s v="I"/>
    <s v="FI2627000078"/>
    <d v="2026-04-13T00:00:00"/>
    <s v="INR"/>
    <n v="774998.04"/>
    <d v="2026-05-23T00:00:00"/>
    <d v="2026-04-17T00:00:00"/>
    <d v="2026-06-12T00:00:00"/>
    <n v="78502"/>
    <d v="2026-04-13T00:00:00"/>
    <m/>
    <m/>
    <s v="BIL - Tower GBT 40M 200 KMPH"/>
    <n v="697498.23600000003"/>
    <n v="7.6999999999999999E-2"/>
    <n v="56"/>
    <n v="8240"/>
    <n v="689258.23600000003"/>
    <m/>
    <m/>
    <m/>
    <m/>
    <m/>
    <m/>
    <n v="274225001.95999998"/>
  </r>
  <r>
    <n v="3"/>
    <n v="28"/>
    <s v="FABIND9INRDZI"/>
    <s v="INDUSTOWER"/>
    <s v="I"/>
    <s v="FI2627000079"/>
    <d v="2026-04-13T00:00:00"/>
    <s v="INR"/>
    <n v="774998.04"/>
    <d v="2026-05-23T00:00:00"/>
    <d v="2026-04-17T00:00:00"/>
    <d v="2026-06-12T00:00:00"/>
    <n v="78503"/>
    <d v="2026-04-13T00:00:00"/>
    <m/>
    <m/>
    <s v="BIL - Tower GBT 40M 200 KMPH"/>
    <n v="697498.23600000003"/>
    <n v="7.6999999999999999E-2"/>
    <n v="56"/>
    <n v="8240"/>
    <n v="689258.23600000003"/>
    <m/>
    <m/>
    <m/>
    <m/>
    <m/>
    <m/>
    <n v="274225001.95999998"/>
  </r>
  <r>
    <n v="4"/>
    <n v="29"/>
    <s v="FABIND9INRDZI"/>
    <s v="INDUSTOWER"/>
    <s v="I"/>
    <s v="FI2627000084"/>
    <d v="2026-04-15T00:00:00"/>
    <s v="INR"/>
    <n v="661895.04"/>
    <d v="2026-05-25T00:00:00"/>
    <d v="2026-04-20T00:00:00"/>
    <d v="2026-06-14T00:00:00"/>
    <n v="78510"/>
    <d v="2026-04-15T00:00:00"/>
    <m/>
    <m/>
    <s v="TowerGBT-3 Leg Tubular VT30M 200 KMPH"/>
    <n v="595705.53600000008"/>
    <n v="7.6999999999999999E-2"/>
    <n v="55"/>
    <n v="6912"/>
    <n v="588793.53600000008"/>
    <m/>
    <m/>
    <m/>
    <m/>
    <m/>
    <m/>
    <n v="274338104.95999998"/>
  </r>
  <r>
    <n v="4"/>
    <n v="30"/>
    <s v="FABIND9INRDZI"/>
    <s v="INDUSTOWER"/>
    <s v="I"/>
    <s v="FI2627000085"/>
    <d v="2026-04-15T00:00:00"/>
    <s v="INR"/>
    <n v="661895.04"/>
    <d v="2026-05-25T00:00:00"/>
    <d v="2026-04-20T00:00:00"/>
    <d v="2026-06-14T00:00:00"/>
    <n v="78511"/>
    <d v="2026-04-15T00:00:00"/>
    <m/>
    <m/>
    <s v="TowerGBT-3 Leg Tubular VT30M 200 KMPH"/>
    <n v="595705.53600000008"/>
    <n v="7.6999999999999999E-2"/>
    <n v="55"/>
    <n v="6912"/>
    <n v="588793.53600000008"/>
    <m/>
    <m/>
    <m/>
    <m/>
    <m/>
    <m/>
    <n v="274338104.95999998"/>
  </r>
  <r>
    <n v="4"/>
    <n v="31"/>
    <s v="FABIND9INRDZI"/>
    <s v="INDUSTOWER"/>
    <s v="I"/>
    <s v="FI2627000086"/>
    <d v="2026-04-15T00:00:00"/>
    <s v="INR"/>
    <n v="661895.04"/>
    <d v="2026-05-25T00:00:00"/>
    <d v="2026-04-20T00:00:00"/>
    <d v="2026-06-14T00:00:00"/>
    <n v="21123"/>
    <d v="2026-04-15T00:00:00"/>
    <m/>
    <m/>
    <s v="TowerGBT-3 Leg Tubular VT30M 200 KMPH"/>
    <n v="595705.53600000008"/>
    <n v="7.6999999999999999E-2"/>
    <n v="55"/>
    <n v="6912"/>
    <n v="588793.53600000008"/>
    <m/>
    <m/>
    <m/>
    <m/>
    <m/>
    <m/>
    <n v="274338104.95999998"/>
  </r>
  <r>
    <n v="4"/>
    <n v="32"/>
    <s v="FABIND9INRDZI"/>
    <s v="INDUSTOWER"/>
    <s v="I"/>
    <s v="FI2627000087"/>
    <d v="2026-04-15T00:00:00"/>
    <s v="INR"/>
    <n v="661895.04"/>
    <d v="2026-05-25T00:00:00"/>
    <d v="2026-04-20T00:00:00"/>
    <d v="2026-06-14T00:00:00"/>
    <n v="78512"/>
    <d v="2026-04-15T00:00:00"/>
    <m/>
    <m/>
    <s v="TowerGBT-3 Leg Tubular VT30M 200 KMPH"/>
    <n v="595705.53600000008"/>
    <n v="7.6999999999999999E-2"/>
    <n v="55"/>
    <n v="6912"/>
    <n v="588793.53600000008"/>
    <m/>
    <m/>
    <m/>
    <m/>
    <m/>
    <m/>
    <n v="274338104.95999998"/>
  </r>
  <r>
    <n v="4"/>
    <n v="33"/>
    <s v="FABIND9INRDZI"/>
    <s v="INDUSTOWER"/>
    <s v="I"/>
    <s v="FI2627000109"/>
    <d v="2026-04-19T00:00:00"/>
    <s v="INR"/>
    <n v="506008.78"/>
    <d v="2026-05-29T00:00:00"/>
    <d v="2026-04-20T00:00:00"/>
    <d v="2026-06-18T00:00:00"/>
    <n v="10038"/>
    <d v="2026-04-19T00:00:00"/>
    <m/>
    <m/>
    <s v="Tower- GBT- Elite 403 STR - 3L TBLR 40M"/>
    <n v="455407.90200000006"/>
    <n v="7.6999999999999999E-2"/>
    <n v="59"/>
    <n v="5668"/>
    <n v="449739.90200000006"/>
    <m/>
    <m/>
    <m/>
    <m/>
    <m/>
    <m/>
    <n v="274493991.22000003"/>
  </r>
  <r>
    <n v="4"/>
    <n v="34"/>
    <s v="FABIND9INRDZI"/>
    <s v="INDUSTOWER"/>
    <s v="I"/>
    <s v="FI2627000110"/>
    <d v="2026-04-19T00:00:00"/>
    <s v="INR"/>
    <n v="506008.78"/>
    <d v="2026-05-29T00:00:00"/>
    <d v="2026-04-20T00:00:00"/>
    <d v="2026-06-18T00:00:00"/>
    <n v="10039"/>
    <d v="2026-04-19T00:00:00"/>
    <m/>
    <m/>
    <s v="Tower- GBT- Elite 403 STR - 3L TBLR 40M"/>
    <n v="455407.90200000006"/>
    <n v="7.6999999999999999E-2"/>
    <n v="59"/>
    <n v="5668"/>
    <n v="449739.90200000006"/>
    <m/>
    <m/>
    <m/>
    <m/>
    <m/>
    <m/>
    <n v="274493991.22000003"/>
  </r>
  <r>
    <n v="4"/>
    <n v="35"/>
    <s v="FABIND9INRDZI"/>
    <s v="INDUSTOWER"/>
    <s v="I"/>
    <s v="FI2627000111"/>
    <d v="2026-04-19T00:00:00"/>
    <s v="INR"/>
    <n v="506008.78"/>
    <d v="2026-05-29T00:00:00"/>
    <d v="2026-04-20T00:00:00"/>
    <d v="2026-06-18T00:00:00"/>
    <n v="10040"/>
    <d v="2026-04-19T00:00:00"/>
    <m/>
    <m/>
    <s v="Tower- GBT- Elite 403 STR - 3L TBLR 40M"/>
    <n v="455407.90200000006"/>
    <n v="7.6999999999999999E-2"/>
    <n v="59"/>
    <n v="5668"/>
    <n v="449739.90200000006"/>
    <m/>
    <m/>
    <m/>
    <m/>
    <m/>
    <m/>
    <n v="274493991.22000003"/>
  </r>
  <r>
    <n v="4"/>
    <n v="36"/>
    <s v="FABIND9INRDZI"/>
    <s v="INDUSTOWER"/>
    <s v="I"/>
    <s v="FI2627000112"/>
    <d v="2026-04-19T00:00:00"/>
    <s v="INR"/>
    <n v="506008.78"/>
    <d v="2026-05-29T00:00:00"/>
    <d v="2026-04-20T00:00:00"/>
    <d v="2026-06-18T00:00:00"/>
    <n v="10041"/>
    <d v="2026-04-19T00:00:00"/>
    <m/>
    <m/>
    <s v="Tower- GBT- Elite 403 STR - 3L TBLR 40M"/>
    <n v="455407.90200000006"/>
    <n v="7.6999999999999999E-2"/>
    <n v="59"/>
    <n v="5668"/>
    <n v="449739.90200000006"/>
    <m/>
    <m/>
    <m/>
    <m/>
    <m/>
    <m/>
    <n v="274493991.22000003"/>
  </r>
  <r>
    <n v="5"/>
    <n v="37"/>
    <s v="FABIND9INRDZI"/>
    <s v="INDUSTOWER"/>
    <s v="I"/>
    <s v="FI2627000118"/>
    <d v="2026-04-20T00:00:00"/>
    <s v="INR"/>
    <n v="483325.64"/>
    <d v="2026-05-30T00:00:00"/>
    <d v="2026-04-23T00:00:00"/>
    <d v="2026-06-19T00:00:00"/>
    <n v="10043"/>
    <d v="2026-04-20T00:00:00"/>
    <m/>
    <m/>
    <s v="Tower- GBT- Elite 403 STR - 3L TBLR 40M"/>
    <n v="434993.076"/>
    <n v="7.6999999999999999E-2"/>
    <n v="57"/>
    <n v="5231"/>
    <n v="429762.076"/>
    <m/>
    <m/>
    <m/>
    <m/>
    <m/>
    <m/>
    <n v="274516674.36000001"/>
  </r>
  <r>
    <n v="5"/>
    <n v="38"/>
    <s v="FABIND9INRDZI"/>
    <s v="INDUSTOWER"/>
    <s v="I"/>
    <s v="FI2627000119"/>
    <d v="2026-04-20T00:00:00"/>
    <s v="INR"/>
    <n v="483325.64"/>
    <d v="2026-05-30T00:00:00"/>
    <d v="2026-04-23T00:00:00"/>
    <d v="2026-06-19T00:00:00"/>
    <n v="10044"/>
    <d v="2026-04-20T00:00:00"/>
    <m/>
    <m/>
    <s v="Tower- GBT- Elite 403 STR - 3L TBLR 40M"/>
    <n v="434993.076"/>
    <n v="7.6999999999999999E-2"/>
    <n v="57"/>
    <n v="5231"/>
    <n v="429762.076"/>
    <m/>
    <m/>
    <m/>
    <m/>
    <m/>
    <m/>
    <n v="274516674.36000001"/>
  </r>
  <r>
    <n v="5"/>
    <n v="39"/>
    <s v="FABIND9INRDZI"/>
    <s v="INDUSTOWER"/>
    <s v="I"/>
    <s v="FI2627000120"/>
    <d v="2026-04-20T00:00:00"/>
    <s v="INR"/>
    <n v="483325.64"/>
    <d v="2026-05-30T00:00:00"/>
    <d v="2026-04-23T00:00:00"/>
    <d v="2026-06-19T00:00:00"/>
    <n v="10045"/>
    <d v="2026-04-20T00:00:00"/>
    <m/>
    <m/>
    <s v="Tower- GBT- Elite 403 STR - 3L TBLR 40M"/>
    <n v="434993.076"/>
    <n v="7.6999999999999999E-2"/>
    <n v="57"/>
    <n v="5231"/>
    <n v="429762.076"/>
    <m/>
    <m/>
    <m/>
    <m/>
    <m/>
    <m/>
    <n v="274516674.36000001"/>
  </r>
  <r>
    <n v="5"/>
    <n v="40"/>
    <s v="FABIND9INRDZI"/>
    <s v="INDUSTOWER"/>
    <s v="I"/>
    <s v="FI2627000121"/>
    <d v="2026-04-20T00:00:00"/>
    <s v="INR"/>
    <n v="483325.64"/>
    <d v="2026-05-30T00:00:00"/>
    <d v="2026-04-23T00:00:00"/>
    <d v="2026-06-19T00:00:00"/>
    <n v="10046"/>
    <d v="2026-04-20T00:00:00"/>
    <m/>
    <m/>
    <s v="Tower- GBT- Elite 403 STR - 3L TBLR 40M"/>
    <n v="434993.076"/>
    <n v="7.6999999999999999E-2"/>
    <n v="57"/>
    <n v="5231"/>
    <n v="429762.076"/>
    <m/>
    <m/>
    <m/>
    <m/>
    <m/>
    <m/>
    <n v="274516674.36000001"/>
  </r>
  <r>
    <n v="5"/>
    <n v="41"/>
    <s v="FABIND9INRDZI"/>
    <s v="INDUSTOWER"/>
    <s v="I"/>
    <s v="FI2627000122"/>
    <d v="2026-04-20T00:00:00"/>
    <s v="INR"/>
    <n v="483325.64"/>
    <d v="2026-05-30T00:00:00"/>
    <d v="2026-04-23T00:00:00"/>
    <d v="2026-06-19T00:00:00"/>
    <n v="801"/>
    <d v="2026-04-20T00:00:00"/>
    <m/>
    <m/>
    <s v="Tower- GBT- Elite 403 STR - 3L TBLR 40M"/>
    <n v="434993.076"/>
    <n v="7.6999999999999999E-2"/>
    <n v="57"/>
    <n v="5231"/>
    <n v="429762.076"/>
    <m/>
    <m/>
    <m/>
    <m/>
    <m/>
    <m/>
    <n v="274516674.36000001"/>
  </r>
  <r>
    <n v="5"/>
    <n v="42"/>
    <s v="FABIND9INRDZI"/>
    <s v="INDUSTOWER"/>
    <s v="I"/>
    <s v="FI2627000127"/>
    <d v="2026-04-20T00:00:00"/>
    <s v="INR"/>
    <n v="1006923.5"/>
    <d v="2026-05-30T00:00:00"/>
    <d v="2026-04-23T00:00:00"/>
    <d v="2026-06-19T00:00:00"/>
    <n v="78158"/>
    <d v="2026-04-20T00:00:00"/>
    <m/>
    <m/>
    <s v="CIP - GBT - Elite 403 STR - 3L 170KMPH"/>
    <n v="906231.15"/>
    <n v="7.6999999999999999E-2"/>
    <n v="57"/>
    <n v="10897"/>
    <n v="895334.15"/>
    <m/>
    <m/>
    <m/>
    <m/>
    <m/>
    <m/>
    <n v="273993076.5"/>
  </r>
  <r>
    <n v="5"/>
    <n v="43"/>
    <s v="FABIND9INRDZI"/>
    <s v="INDUSTOWER"/>
    <s v="I"/>
    <s v="FI2627000128"/>
    <d v="2026-04-20T00:00:00"/>
    <s v="INR"/>
    <n v="671243"/>
    <d v="2026-05-30T00:00:00"/>
    <d v="2026-04-23T00:00:00"/>
    <d v="2026-06-19T00:00:00"/>
    <n v="10047"/>
    <d v="2026-04-20T00:00:00"/>
    <m/>
    <m/>
    <s v="12A - Tower GBT-3 Leg TBLR 40M 170 KMPH"/>
    <n v="604118.70000000007"/>
    <n v="7.6999999999999999E-2"/>
    <n v="57"/>
    <n v="7264"/>
    <n v="596854.70000000007"/>
    <m/>
    <m/>
    <m/>
    <m/>
    <m/>
    <m/>
    <n v="274328757"/>
  </r>
  <r>
    <n v="5"/>
    <n v="44"/>
    <s v="FABIND9INRDZI"/>
    <s v="INDUSTOWER"/>
    <s v="I"/>
    <s v="FI2627000134"/>
    <d v="2026-04-21T00:00:00"/>
    <s v="INR"/>
    <n v="481668.92"/>
    <d v="2026-05-31T00:00:00"/>
    <d v="2026-04-23T00:00:00"/>
    <d v="2026-06-20T00:00:00"/>
    <n v="10049"/>
    <d v="2026-04-21T00:00:00"/>
    <m/>
    <m/>
    <s v="TOWER GBT 3Legged VM 30M 170KMPH"/>
    <n v="433502.02799999999"/>
    <n v="7.6999999999999999E-2"/>
    <n v="58"/>
    <n v="5304"/>
    <n v="428198.02799999999"/>
    <m/>
    <m/>
    <m/>
    <m/>
    <m/>
    <m/>
    <n v="274518331.07999998"/>
  </r>
  <r>
    <n v="5"/>
    <n v="45"/>
    <s v="FABIND9INRDZI"/>
    <s v="INDUSTOWER"/>
    <s v="I"/>
    <s v="FI2627000135"/>
    <d v="2026-04-21T00:00:00"/>
    <s v="INR"/>
    <n v="506008.78"/>
    <d v="2026-05-31T00:00:00"/>
    <d v="2026-04-23T00:00:00"/>
    <d v="2026-06-20T00:00:00"/>
    <n v="10050"/>
    <d v="2026-04-21T00:00:00"/>
    <m/>
    <m/>
    <s v="Tower- GBT- Elite 403 STR - 3L TBLR 40M"/>
    <n v="455407.90200000006"/>
    <n v="7.6999999999999999E-2"/>
    <n v="58"/>
    <n v="5572"/>
    <n v="449835.90200000006"/>
    <m/>
    <m/>
    <m/>
    <m/>
    <m/>
    <m/>
    <n v="274493991.22000003"/>
  </r>
  <r>
    <n v="5"/>
    <n v="46"/>
    <s v="FABIND9INRDZI"/>
    <s v="INDUSTOWER"/>
    <s v="I"/>
    <s v="FI2627000136"/>
    <d v="2026-04-21T00:00:00"/>
    <s v="INR"/>
    <n v="506008.78"/>
    <d v="2026-05-31T00:00:00"/>
    <d v="2026-04-23T00:00:00"/>
    <d v="2026-06-20T00:00:00"/>
    <n v="78519"/>
    <d v="2026-04-21T00:00:00"/>
    <m/>
    <m/>
    <s v="Tower- GBT- Elite 403 STR - 3L TBLR 40M"/>
    <n v="455407.90200000006"/>
    <n v="7.6999999999999999E-2"/>
    <n v="58"/>
    <n v="5572"/>
    <n v="449835.90200000006"/>
    <m/>
    <m/>
    <m/>
    <m/>
    <m/>
    <m/>
    <n v="274493991.22000003"/>
  </r>
  <r>
    <n v="5"/>
    <n v="47"/>
    <s v="FABIND9INRDZI"/>
    <s v="INDUSTOWER"/>
    <s v="I"/>
    <s v="FI2627000137"/>
    <d v="2026-04-21T00:00:00"/>
    <s v="INR"/>
    <n v="506008.78"/>
    <d v="2026-05-31T00:00:00"/>
    <d v="2026-04-23T00:00:00"/>
    <d v="2026-06-20T00:00:00"/>
    <n v="78520"/>
    <d v="2026-04-21T00:00:00"/>
    <m/>
    <m/>
    <s v="Tower- GBT- Elite 403 STR - 3L TBLR 40M"/>
    <n v="455407.90200000006"/>
    <n v="7.6999999999999999E-2"/>
    <n v="58"/>
    <n v="5572"/>
    <n v="449835.90200000006"/>
    <m/>
    <m/>
    <m/>
    <m/>
    <m/>
    <m/>
    <n v="274493991.22000003"/>
  </r>
  <r>
    <n v="5"/>
    <n v="48"/>
    <s v="FABIND9INRDZI"/>
    <s v="INDUSTOWER"/>
    <s v="I"/>
    <s v="FI2627000139"/>
    <d v="2026-04-21T00:00:00"/>
    <s v="INR"/>
    <n v="506008.78"/>
    <d v="2026-05-31T00:00:00"/>
    <d v="2026-04-23T00:00:00"/>
    <d v="2026-06-20T00:00:00"/>
    <n v="78521"/>
    <d v="2026-04-21T00:00:00"/>
    <m/>
    <m/>
    <s v="Tower- GBT- Elite 403 STR - 3L TBLR 40M"/>
    <n v="455407.90200000006"/>
    <n v="7.6999999999999999E-2"/>
    <n v="58"/>
    <n v="5572"/>
    <n v="449835.90200000006"/>
    <m/>
    <m/>
    <m/>
    <m/>
    <m/>
    <m/>
    <n v="274493991.22000003"/>
  </r>
  <r>
    <n v="5"/>
    <n v="49"/>
    <s v="FABIND9INRDZI"/>
    <s v="INDUSTOWER"/>
    <s v="I"/>
    <s v="FI2627000140"/>
    <d v="2026-04-21T00:00:00"/>
    <s v="INR"/>
    <n v="506008.78"/>
    <d v="2026-05-31T00:00:00"/>
    <d v="2026-04-23T00:00:00"/>
    <d v="2026-06-20T00:00:00"/>
    <n v="10051"/>
    <d v="2026-04-21T00:00:00"/>
    <m/>
    <m/>
    <s v="Tower- GBT- Elite 403 STR - 3L TBLR 40M"/>
    <n v="455407.90200000006"/>
    <n v="7.6999999999999999E-2"/>
    <n v="58"/>
    <n v="5572"/>
    <n v="449835.90200000006"/>
    <m/>
    <m/>
    <m/>
    <m/>
    <m/>
    <m/>
    <n v="274493991.22000003"/>
  </r>
  <r>
    <n v="5"/>
    <n v="50"/>
    <s v="FABIND9INRDZI"/>
    <s v="INDUSTOWER"/>
    <s v="I"/>
    <s v="FI2627000148"/>
    <d v="2026-04-21T00:00:00"/>
    <s v="INR"/>
    <n v="506008.78"/>
    <d v="2026-05-31T00:00:00"/>
    <d v="2026-04-23T00:00:00"/>
    <d v="2026-06-20T00:00:00"/>
    <n v="78522"/>
    <d v="2026-04-21T00:00:00"/>
    <m/>
    <m/>
    <s v="Tower- GBT- Elite 403 STR - 3L TBLR 40M"/>
    <n v="455407.90200000006"/>
    <n v="7.6999999999999999E-2"/>
    <n v="58"/>
    <n v="5572"/>
    <n v="449835.90200000006"/>
    <m/>
    <m/>
    <m/>
    <m/>
    <m/>
    <m/>
    <n v="274493991.22000003"/>
  </r>
  <r>
    <n v="6"/>
    <n v="51"/>
    <s v="FABIND9INRDZI"/>
    <s v="INDUSTOWER"/>
    <s v="I"/>
    <s v="FI2627000151"/>
    <d v="2026-04-22T00:00:00"/>
    <s v="INR"/>
    <n v="873873.78"/>
    <d v="2026-06-01T00:00:00"/>
    <d v="2026-04-23T00:00:00"/>
    <d v="2026-06-21T00:00:00"/>
    <n v="25333"/>
    <d v="2026-04-22T00:00:00"/>
    <m/>
    <m/>
    <s v="SLIP JOINT MONOPOLE-30M (INDUS)"/>
    <n v="786486.402"/>
    <n v="7.6999999999999999E-2"/>
    <n v="59"/>
    <n v="9789"/>
    <n v="776697.402"/>
    <m/>
    <m/>
    <m/>
    <m/>
    <m/>
    <m/>
    <n v="274126126.22000003"/>
  </r>
  <r>
    <n v="6"/>
    <n v="52"/>
    <s v="FABIND9INRDZI"/>
    <s v="INDUSTOWER"/>
    <s v="I"/>
    <s v="FI2627000152"/>
    <d v="2026-04-22T00:00:00"/>
    <s v="INR"/>
    <n v="483325.64"/>
    <d v="2026-06-01T00:00:00"/>
    <d v="2026-04-23T00:00:00"/>
    <d v="2026-06-21T00:00:00"/>
    <n v="10054"/>
    <d v="2026-04-22T00:00:00"/>
    <m/>
    <m/>
    <s v="Tower- GBT- Elite 403 STR - 3L TBLR 40M"/>
    <n v="434993.076"/>
    <n v="7.6999999999999999E-2"/>
    <n v="59"/>
    <n v="5414"/>
    <n v="429579.076"/>
    <m/>
    <m/>
    <m/>
    <m/>
    <m/>
    <m/>
    <n v="274516674.36000001"/>
  </r>
  <r>
    <n v="6"/>
    <n v="53"/>
    <s v="FABIND9INRDZI"/>
    <s v="INDUSTOWER"/>
    <s v="I"/>
    <s v="FI2627000153"/>
    <d v="2026-04-22T00:00:00"/>
    <s v="INR"/>
    <n v="483325.64"/>
    <d v="2026-06-01T00:00:00"/>
    <d v="2026-04-23T00:00:00"/>
    <d v="2026-06-21T00:00:00"/>
    <n v="10053"/>
    <d v="2026-04-22T00:00:00"/>
    <m/>
    <m/>
    <s v="Tower- GBT- Elite 403 STR - 3L TBLR 40M"/>
    <n v="434993.076"/>
    <n v="7.6999999999999999E-2"/>
    <n v="59"/>
    <n v="5414"/>
    <n v="429579.076"/>
    <m/>
    <m/>
    <m/>
    <m/>
    <m/>
    <m/>
    <n v="274516674.36000001"/>
  </r>
  <r>
    <n v="6"/>
    <n v="54"/>
    <s v="FABIND9INRDZI"/>
    <s v="INDUSTOWER"/>
    <s v="I"/>
    <s v="FI2627000156"/>
    <d v="2026-04-22T00:00:00"/>
    <s v="INR"/>
    <n v="483325.64"/>
    <d v="2026-06-01T00:00:00"/>
    <d v="2026-04-23T00:00:00"/>
    <d v="2026-06-21T00:00:00"/>
    <n v="21129"/>
    <d v="2026-04-22T00:00:00"/>
    <m/>
    <m/>
    <s v="Tower- GBT- Elite 403 STR - 3L TBLR 40M"/>
    <n v="434993.076"/>
    <n v="7.6999999999999999E-2"/>
    <n v="59"/>
    <n v="5414"/>
    <n v="429579.076"/>
    <m/>
    <m/>
    <m/>
    <m/>
    <m/>
    <m/>
    <n v="274516674.36000001"/>
  </r>
  <r>
    <n v="7"/>
    <n v="55"/>
    <s v="FABIND9INRDZI"/>
    <s v="INDUSTOWER"/>
    <s v="I"/>
    <s v="FI2627000168"/>
    <d v="2026-04-23T00:00:00"/>
    <s v="INR"/>
    <n v="455946.1"/>
    <d v="2026-06-02T00:00:00"/>
    <d v="2026-04-23T00:00:00"/>
    <d v="2026-06-22T00:00:00"/>
    <s v="11527"/>
    <d v="2026-04-23T00:00:00"/>
    <m/>
    <m/>
    <s v="Tower- GBT- Elite-402 - 3L TBLR 40M 140"/>
    <n v="410351.49"/>
    <n v="7.6999999999999999E-2"/>
    <n v="60"/>
    <n v="5194"/>
    <n v="405157.49"/>
    <m/>
    <m/>
    <m/>
    <m/>
    <m/>
    <m/>
    <n v="274544053.89999998"/>
  </r>
  <r>
    <n v="7"/>
    <n v="56"/>
    <s v="FABIND9INRDZI"/>
    <s v="INDUSTOWER"/>
    <s v="I"/>
    <s v="FI2627000169"/>
    <d v="2026-04-23T00:00:00"/>
    <s v="INR"/>
    <n v="483325.64"/>
    <d v="2026-06-02T00:00:00"/>
    <d v="2026-04-23T00:00:00"/>
    <d v="2026-06-22T00:00:00"/>
    <s v="11528"/>
    <d v="2026-04-23T00:00:00"/>
    <m/>
    <m/>
    <s v="Tower- GBT- Elite 403 STR - 3L TBLR 40M"/>
    <n v="434993.076"/>
    <n v="7.6999999999999999E-2"/>
    <n v="60"/>
    <n v="5506"/>
    <n v="429487.076"/>
    <m/>
    <m/>
    <m/>
    <m/>
    <m/>
    <m/>
    <n v="274516674.36000001"/>
  </r>
  <r>
    <n v="8"/>
    <n v="57"/>
    <s v="FABIND9INRDZI"/>
    <s v="INDUSTOWER"/>
    <s v="I"/>
    <s v="FI2627000176"/>
    <d v="2026-04-24T00:00:00"/>
    <s v="INR"/>
    <n v="684578.18"/>
    <d v="2026-06-03T00:00:00"/>
    <d v="2026-04-24T00:00:00"/>
    <d v="2026-06-23T00:00:00"/>
    <s v="10061"/>
    <d v="2026-04-24T00:00:00"/>
    <m/>
    <m/>
    <s v="TowerGBT-3 Leg Tubular VT30M 200 KMPH"/>
    <n v="616120.36200000008"/>
    <n v="7.6999999999999999E-2"/>
    <n v="60"/>
    <n v="7799"/>
    <n v="608321.36200000008"/>
    <m/>
    <m/>
    <m/>
    <m/>
    <m/>
    <m/>
    <n v="274315421.81999999"/>
  </r>
  <r>
    <n v="8"/>
    <n v="58"/>
    <s v="FABIND9INRDZI"/>
    <s v="INDUSTOWER"/>
    <s v="I"/>
    <s v="FI2627000177"/>
    <d v="2026-04-24T00:00:00"/>
    <s v="INR"/>
    <n v="75263.94"/>
    <d v="2026-06-03T00:00:00"/>
    <d v="2026-04-24T00:00:00"/>
    <d v="2026-06-23T00:00:00"/>
    <s v="10062"/>
    <d v="2026-04-24T00:00:00"/>
    <m/>
    <m/>
    <s v="Cast In part GBT-3L TBLR VT30M 200KMPH"/>
    <n v="67737.546000000002"/>
    <n v="7.6999999999999999E-2"/>
    <n v="60"/>
    <n v="857"/>
    <n v="66880.546000000002"/>
    <m/>
    <m/>
    <m/>
    <m/>
    <m/>
    <m/>
    <n v="274924736.06"/>
  </r>
  <r>
    <n v="8"/>
    <n v="59"/>
    <s v="FABIND9INRDZI"/>
    <s v="INDUSTOWER"/>
    <s v="I"/>
    <s v="FI2627000178"/>
    <d v="2026-04-24T00:00:00"/>
    <s v="INR"/>
    <n v="684578.18"/>
    <d v="2026-06-03T00:00:00"/>
    <d v="2026-04-24T00:00:00"/>
    <d v="2026-06-23T00:00:00"/>
    <s v="10063"/>
    <d v="2026-04-24T00:00:00"/>
    <m/>
    <m/>
    <s v="TowerGBT-3 Leg Tubular VT30M 200 KMPH"/>
    <n v="616120.36200000008"/>
    <n v="7.6999999999999999E-2"/>
    <n v="60"/>
    <n v="7799"/>
    <n v="608321.36200000008"/>
    <m/>
    <m/>
    <m/>
    <m/>
    <m/>
    <m/>
    <n v="274315421.81999999"/>
  </r>
  <r>
    <n v="8"/>
    <n v="60"/>
    <s v="FABIND9INRDZI"/>
    <s v="INDUSTOWER"/>
    <s v="I"/>
    <s v="FI2627000179"/>
    <d v="2026-04-24T00:00:00"/>
    <s v="INR"/>
    <n v="75263.94"/>
    <d v="2026-06-03T00:00:00"/>
    <d v="2026-04-24T00:00:00"/>
    <d v="2026-06-23T00:00:00"/>
    <s v="10064"/>
    <d v="2026-04-24T00:00:00"/>
    <m/>
    <m/>
    <s v="Cast In part GBT-3L TBLR VT30M 200KMPH"/>
    <n v="67737.546000000002"/>
    <n v="7.6999999999999999E-2"/>
    <n v="60"/>
    <n v="857"/>
    <n v="66880.546000000002"/>
    <m/>
    <m/>
    <m/>
    <m/>
    <m/>
    <m/>
    <n v="274924736.06"/>
  </r>
  <r>
    <n v="8"/>
    <n v="61"/>
    <s v="FABIND9INRDZI"/>
    <s v="INDUSTOWER"/>
    <s v="I"/>
    <s v="FI2627000182"/>
    <d v="2026-04-24T00:00:00"/>
    <s v="INR"/>
    <n v="574467.66"/>
    <d v="2026-06-03T00:00:00"/>
    <d v="2026-04-24T00:00:00"/>
    <d v="2026-06-23T00:00:00"/>
    <s v="806"/>
    <d v="2026-04-24T00:00:00"/>
    <m/>
    <m/>
    <s v="NBT 40Mtr Tower"/>
    <n v="517020.89400000003"/>
    <n v="7.6999999999999999E-2"/>
    <n v="60"/>
    <n v="6544"/>
    <n v="510476.89400000003"/>
    <m/>
    <m/>
    <m/>
    <m/>
    <m/>
    <m/>
    <n v="274425532.33999997"/>
  </r>
  <r>
    <n v="8"/>
    <n v="62"/>
    <s v="FABIND9INRDZI"/>
    <s v="INDUSTOWER"/>
    <s v="I"/>
    <s v="FI2627000183"/>
    <d v="2026-04-24T00:00:00"/>
    <s v="INR"/>
    <n v="574467.66"/>
    <d v="2026-06-03T00:00:00"/>
    <d v="2026-04-24T00:00:00"/>
    <d v="2026-06-23T00:00:00"/>
    <s v="805"/>
    <d v="2026-04-24T00:00:00"/>
    <m/>
    <m/>
    <s v="NBT 40Mtr Tower"/>
    <n v="517020.89400000003"/>
    <n v="7.6999999999999999E-2"/>
    <n v="60"/>
    <n v="6544"/>
    <n v="510476.89400000003"/>
    <m/>
    <m/>
    <m/>
    <m/>
    <m/>
    <m/>
    <n v="274425532.33999997"/>
  </r>
  <r>
    <n v="8"/>
    <n v="63"/>
    <s v="FABIND9INRDZI"/>
    <s v="INDUSTOWER"/>
    <s v="I"/>
    <s v="FI2627000184"/>
    <d v="2026-04-24T00:00:00"/>
    <s v="INR"/>
    <n v="574467.66"/>
    <d v="2026-06-03T00:00:00"/>
    <d v="2026-04-24T00:00:00"/>
    <d v="2026-06-23T00:00:00"/>
    <s v="807"/>
    <d v="2026-04-24T00:00:00"/>
    <m/>
    <m/>
    <s v="NBT 40Mtr Tower"/>
    <n v="517020.89400000003"/>
    <n v="7.6999999999999999E-2"/>
    <n v="60"/>
    <n v="6544"/>
    <n v="510476.89400000003"/>
    <m/>
    <m/>
    <m/>
    <m/>
    <m/>
    <m/>
    <n v="274425532.33999997"/>
  </r>
  <r>
    <n v="8"/>
    <n v="64"/>
    <s v="FABIND9INRDZI"/>
    <s v="INDUSTOWER"/>
    <s v="I"/>
    <s v="FI2627000185"/>
    <d v="2026-04-24T00:00:00"/>
    <s v="INR"/>
    <n v="574467.66"/>
    <d v="2026-06-03T00:00:00"/>
    <d v="2026-04-24T00:00:00"/>
    <d v="2026-06-23T00:00:00"/>
    <s v="10066"/>
    <d v="2026-04-24T00:00:00"/>
    <m/>
    <m/>
    <s v="NBT 40Mtr Tower"/>
    <n v="517020.89400000003"/>
    <n v="7.6999999999999999E-2"/>
    <n v="60"/>
    <n v="6544"/>
    <n v="510476.89400000003"/>
    <m/>
    <m/>
    <m/>
    <m/>
    <m/>
    <m/>
    <n v="274425532.33999997"/>
  </r>
  <r>
    <n v="8"/>
    <n v="65"/>
    <s v="FABIND9INRDZI"/>
    <s v="INDUSTOWER"/>
    <s v="I"/>
    <s v="FI2627000186"/>
    <d v="2026-04-24T00:00:00"/>
    <s v="INR"/>
    <n v="574467.66"/>
    <d v="2026-06-03T00:00:00"/>
    <d v="2026-04-24T00:00:00"/>
    <d v="2026-06-23T00:00:00"/>
    <s v="10067"/>
    <d v="2026-04-24T00:00:00"/>
    <m/>
    <m/>
    <s v="NBT 40Mtr Tower"/>
    <n v="517020.89400000003"/>
    <n v="7.6999999999999999E-2"/>
    <n v="60"/>
    <n v="6544"/>
    <n v="510476.89400000003"/>
    <m/>
    <m/>
    <m/>
    <m/>
    <m/>
    <m/>
    <n v="274425532.33999997"/>
  </r>
  <r>
    <n v="8"/>
    <n v="66"/>
    <s v="FABIND9INRDZI"/>
    <s v="INDUSTOWER"/>
    <s v="I"/>
    <s v="FI2627000188"/>
    <d v="2026-04-24T00:00:00"/>
    <s v="INR"/>
    <n v="481668.92"/>
    <d v="2026-06-03T00:00:00"/>
    <d v="2026-04-24T00:00:00"/>
    <d v="2026-06-23T00:00:00"/>
    <s v="11529"/>
    <d v="2026-04-24T00:00:00"/>
    <m/>
    <m/>
    <s v="TOWER GBT 3Legged VM 30M 170KMPH"/>
    <n v="433502.02799999999"/>
    <n v="7.6999999999999999E-2"/>
    <n v="60"/>
    <n v="5487"/>
    <n v="428015.02799999999"/>
    <m/>
    <m/>
    <m/>
    <m/>
    <m/>
    <m/>
    <n v="274518331.07999998"/>
  </r>
  <r>
    <n v="9"/>
    <n v="67"/>
    <s v="FABIND9INRDZI"/>
    <s v="INDUSTOWER"/>
    <s v="I"/>
    <s v="FI2627000196"/>
    <d v="2026-04-26T00:00:00"/>
    <s v="INR"/>
    <n v="574467.66"/>
    <d v="2026-06-05T00:00:00"/>
    <d v="2026-04-27T00:00:00"/>
    <d v="2026-06-25T00:00:00"/>
    <s v="78526"/>
    <d v="2026-04-26T00:00:00"/>
    <m/>
    <m/>
    <s v="NBT 40Mtr Tower"/>
    <n v="517020.89400000003"/>
    <n v="7.6999999999999999E-2"/>
    <n v="59"/>
    <n v="6435"/>
    <n v="510585.89400000003"/>
    <m/>
    <m/>
    <m/>
    <m/>
    <m/>
    <m/>
    <n v="274425532.33999997"/>
  </r>
  <r>
    <n v="9"/>
    <n v="68"/>
    <s v="FABIND9INRDZI"/>
    <s v="INDUSTOWER"/>
    <s v="I"/>
    <s v="FI2627000197"/>
    <d v="2026-04-26T00:00:00"/>
    <s v="INR"/>
    <n v="574467.66"/>
    <d v="2026-06-05T00:00:00"/>
    <d v="2026-04-27T00:00:00"/>
    <d v="2026-06-25T00:00:00"/>
    <s v="10070"/>
    <d v="2026-04-26T00:00:00"/>
    <m/>
    <m/>
    <s v="NBT 40Mtr Tower"/>
    <n v="517020.89400000003"/>
    <n v="7.6999999999999999E-2"/>
    <n v="59"/>
    <n v="6435"/>
    <n v="510585.89400000003"/>
    <m/>
    <m/>
    <m/>
    <m/>
    <m/>
    <m/>
    <n v="274425532.33999997"/>
  </r>
  <r>
    <n v="9"/>
    <n v="69"/>
    <s v="FABIND9INRDZI"/>
    <s v="INDUSTOWER"/>
    <s v="I"/>
    <s v="FI2627000198"/>
    <d v="2026-04-26T00:00:00"/>
    <s v="INR"/>
    <n v="574467.66"/>
    <d v="2026-06-05T00:00:00"/>
    <d v="2026-04-27T00:00:00"/>
    <d v="2026-06-25T00:00:00"/>
    <s v="810"/>
    <d v="2026-04-26T00:00:00"/>
    <m/>
    <m/>
    <s v="NBT 40Mtr Tower"/>
    <n v="517020.89400000003"/>
    <n v="7.6999999999999999E-2"/>
    <n v="59"/>
    <n v="6435"/>
    <n v="510585.89400000003"/>
    <m/>
    <m/>
    <m/>
    <m/>
    <m/>
    <m/>
    <n v="274425532.33999997"/>
  </r>
  <r>
    <n v="9"/>
    <n v="70"/>
    <s v="FABIND9INRDZI"/>
    <s v="INDUSTOWER"/>
    <s v="I"/>
    <s v="FI2627000199"/>
    <d v="2026-04-26T00:00:00"/>
    <s v="INR"/>
    <n v="574467.66"/>
    <d v="2026-06-05T00:00:00"/>
    <d v="2026-04-27T00:00:00"/>
    <d v="2026-06-25T00:00:00"/>
    <s v="11530"/>
    <d v="2026-04-26T00:00:00"/>
    <m/>
    <m/>
    <s v="NBT 40Mtr Tower"/>
    <n v="517020.89400000003"/>
    <n v="7.6999999999999999E-2"/>
    <n v="59"/>
    <n v="6435"/>
    <n v="510585.89400000003"/>
    <m/>
    <m/>
    <m/>
    <m/>
    <m/>
    <m/>
    <n v="274425532.33999997"/>
  </r>
  <r>
    <n v="0"/>
    <n v="71"/>
    <s v="FABIND9INRDZI"/>
    <s v="RELIANCEIN"/>
    <s v="I"/>
    <s v="FI2526009378"/>
    <d v="2026-03-12T00:00:00"/>
    <s v="INR"/>
    <n v="764307.41"/>
    <d v="2026-04-25T00:00:00"/>
    <d v="2026-04-23T00:00:00"/>
    <d v="2026-05-15T00:00:00"/>
    <m/>
    <d v="2026-03-12T00:00:00"/>
    <m/>
    <m/>
    <m/>
    <n v="687876.66899999999"/>
    <n v="7.6999999999999999E-2"/>
    <n v="22"/>
    <n v="3193"/>
    <n v="684683.66899999999"/>
    <m/>
    <m/>
    <m/>
    <m/>
    <m/>
    <m/>
    <n v="219235692.59"/>
  </r>
  <r>
    <n v="1"/>
    <n v="72"/>
    <s v="FABIND9INRDZI"/>
    <s v="RELIANCEIN"/>
    <s v="I"/>
    <s v="FI2627000094"/>
    <d v="2026-04-16T00:00:00"/>
    <s v="INR"/>
    <n v="822460"/>
    <d v="2026-05-30T00:00:00"/>
    <d v="2026-04-20T00:00:00"/>
    <d v="2026-06-19T00:00:00"/>
    <n v="2000146043"/>
    <d v="2026-04-16T00:00:00"/>
    <m/>
    <m/>
    <s v="CIP for 12/18 Panel Structure_New Design"/>
    <n v="740214"/>
    <n v="7.6999999999999999E-2"/>
    <n v="60"/>
    <n v="9369"/>
    <n v="730845"/>
    <m/>
    <m/>
    <m/>
    <m/>
    <m/>
    <m/>
    <n v="219177540"/>
  </r>
  <r>
    <n v="1"/>
    <n v="73"/>
    <s v="FABIND9INRDZI"/>
    <s v="RELIANCEIN"/>
    <s v="I"/>
    <s v="FI2627000107"/>
    <d v="2026-04-19T00:00:00"/>
    <s v="INR"/>
    <n v="822460"/>
    <d v="2026-06-02T00:00:00"/>
    <d v="2026-04-20T00:00:00"/>
    <d v="2026-06-22T00:00:00"/>
    <n v="2000146110"/>
    <d v="2026-04-19T00:00:00"/>
    <m/>
    <m/>
    <s v="CIP for 12/18 Panel Structure_New Design"/>
    <n v="740214"/>
    <n v="7.6999999999999999E-2"/>
    <n v="63"/>
    <n v="9838"/>
    <n v="730376"/>
    <m/>
    <m/>
    <m/>
    <m/>
    <m/>
    <m/>
    <n v="219177540"/>
  </r>
  <r>
    <n v="2"/>
    <n v="74"/>
    <s v="FABIND9INRDZI"/>
    <s v="RELIANCEIN"/>
    <s v="I"/>
    <s v="FI2627000123"/>
    <d v="2026-04-20T00:00:00"/>
    <s v="INR"/>
    <n v="766484.34"/>
    <d v="2026-06-03T00:00:00"/>
    <d v="2026-04-23T00:00:00"/>
    <d v="2026-06-23T00:00:00"/>
    <n v="2000146126"/>
    <d v="2026-04-20T00:00:00"/>
    <m/>
    <m/>
    <s v="TOWER12A TUBULR3 LEG W PLT &amp; FNCE-FAB"/>
    <n v="689835.90599999996"/>
    <n v="7.6999999999999999E-2"/>
    <n v="61"/>
    <n v="8877"/>
    <n v="680958.90599999996"/>
    <m/>
    <m/>
    <m/>
    <m/>
    <m/>
    <m/>
    <n v="219233515.66"/>
  </r>
  <r>
    <n v="2"/>
    <n v="75"/>
    <s v="FABIND9INRDZI"/>
    <s v="RELIANCEIN"/>
    <s v="I"/>
    <s v="FI2627000124"/>
    <d v="2026-04-20T00:00:00"/>
    <s v="INR"/>
    <n v="766484.34"/>
    <d v="2026-06-03T00:00:00"/>
    <d v="2026-04-23T00:00:00"/>
    <d v="2026-06-23T00:00:00"/>
    <n v="2000146129"/>
    <d v="2026-04-20T00:00:00"/>
    <m/>
    <m/>
    <s v="TOWER12A TUBULR3 LEG W PLT &amp; FNCE-FAB"/>
    <n v="689835.90599999996"/>
    <n v="7.6999999999999999E-2"/>
    <n v="61"/>
    <n v="8877"/>
    <n v="680958.90599999996"/>
    <m/>
    <m/>
    <m/>
    <m/>
    <m/>
    <m/>
    <n v="219233515.66"/>
  </r>
  <r>
    <n v="2"/>
    <n v="76"/>
    <s v="FABIND9INRDZI"/>
    <s v="RELIANCEIN"/>
    <s v="I"/>
    <s v="FI2627000125"/>
    <d v="2026-04-20T00:00:00"/>
    <s v="INR"/>
    <n v="766484.34"/>
    <d v="2026-06-03T00:00:00"/>
    <d v="2026-04-23T00:00:00"/>
    <d v="2026-06-23T00:00:00"/>
    <n v="2000146130"/>
    <d v="2026-04-20T00:00:00"/>
    <m/>
    <m/>
    <s v="TOWER12A TUBULR3 LEG W PLT &amp; FNCE-FAB"/>
    <n v="689835.90599999996"/>
    <n v="7.6999999999999999E-2"/>
    <n v="61"/>
    <n v="8877"/>
    <n v="680958.90599999996"/>
    <m/>
    <m/>
    <m/>
    <m/>
    <m/>
    <m/>
    <n v="219233515.66"/>
  </r>
  <r>
    <n v="2"/>
    <n v="77"/>
    <s v="FABIND9INRDZI"/>
    <s v="RELIANCEIN"/>
    <s v="I"/>
    <s v="FI2627000126"/>
    <d v="2026-04-20T00:00:00"/>
    <s v="INR"/>
    <n v="766484.34"/>
    <d v="2026-06-03T00:00:00"/>
    <d v="2026-04-23T00:00:00"/>
    <d v="2026-06-23T00:00:00"/>
    <n v="2000146128"/>
    <d v="2026-04-20T00:00:00"/>
    <m/>
    <m/>
    <s v="TOWER12A TUBULR3 LEG W PLT &amp; FNCE-FAB"/>
    <n v="689835.90599999996"/>
    <n v="7.6999999999999999E-2"/>
    <n v="61"/>
    <n v="8877"/>
    <n v="680958.90599999996"/>
    <m/>
    <m/>
    <m/>
    <m/>
    <m/>
    <m/>
    <n v="219233515.66"/>
  </r>
  <r>
    <n v="2"/>
    <n v="78"/>
    <s v="FABIND9INRDZI"/>
    <s v="RELIANCEIN"/>
    <s v="I"/>
    <s v="FI2627000143"/>
    <d v="2026-04-21T00:00:00"/>
    <s v="INR"/>
    <n v="822460"/>
    <d v="2026-06-04T00:00:00"/>
    <d v="2026-04-23T00:00:00"/>
    <d v="2026-06-24T00:00:00"/>
    <n v="2000146147"/>
    <d v="2026-04-21T00:00:00"/>
    <m/>
    <m/>
    <s v="CIP for 12/18 Panel Structure_New Design"/>
    <n v="740214"/>
    <n v="7.6999999999999999E-2"/>
    <n v="62"/>
    <n v="9682"/>
    <n v="730532"/>
    <m/>
    <m/>
    <m/>
    <m/>
    <m/>
    <m/>
    <n v="219177540"/>
  </r>
  <r>
    <n v="2"/>
    <n v="79"/>
    <s v="FABIND9INRDZI"/>
    <s v="RELIANCEIN"/>
    <s v="I"/>
    <s v="FI2627000146"/>
    <d v="2026-04-21T00:00:00"/>
    <s v="INR"/>
    <n v="822460"/>
    <d v="2026-06-04T00:00:00"/>
    <d v="2026-04-23T00:00:00"/>
    <d v="2026-06-24T00:00:00"/>
    <n v="2000146148"/>
    <d v="2026-04-21T00:00:00"/>
    <m/>
    <m/>
    <s v="CIP for 12/18 Panel Structure_New Design"/>
    <n v="740214"/>
    <n v="7.6999999999999999E-2"/>
    <n v="62"/>
    <n v="9682"/>
    <n v="730532"/>
    <m/>
    <m/>
    <m/>
    <m/>
    <m/>
    <m/>
    <n v="219177540"/>
  </r>
  <r>
    <n v="3"/>
    <n v="80"/>
    <s v="FABIND9INRDZI"/>
    <s v="RELIANCEIN"/>
    <s v="I"/>
    <s v="FI2627000154"/>
    <d v="2026-04-22T00:00:00"/>
    <s v="INR"/>
    <n v="1069198"/>
    <d v="2026-06-05T00:00:00"/>
    <d v="2026-04-23T00:00:00"/>
    <d v="2026-06-25T00:00:00"/>
    <n v="2000146151"/>
    <d v="2026-04-22T00:00:00"/>
    <m/>
    <m/>
    <s v="TOWER12A TUBULR3 LEG W PLT &amp; FNCE-FAB"/>
    <n v="962278.20000000007"/>
    <n v="7.6999999999999999E-2"/>
    <n v="63"/>
    <n v="12789"/>
    <n v="949489.20000000007"/>
    <m/>
    <m/>
    <m/>
    <m/>
    <m/>
    <m/>
    <n v="218930802"/>
  </r>
  <r>
    <n v="4"/>
    <n v="81"/>
    <s v="FABIND9INRDZI"/>
    <s v="RELIANCEIN"/>
    <s v="I"/>
    <s v="FI2627000164"/>
    <d v="2026-04-23T00:00:00"/>
    <s v="INR"/>
    <n v="916860"/>
    <d v="2026-06-06T00:00:00"/>
    <d v="2026-04-23T00:00:00"/>
    <d v="2026-06-26T00:00:00"/>
    <s v="2000146179"/>
    <d v="2026-04-23T00:00:00"/>
    <m/>
    <m/>
    <s v="GBM30MTRIBANDLOADING50M/S-FAB"/>
    <n v="825174"/>
    <n v="7.6999999999999999E-2"/>
    <n v="64"/>
    <n v="11141"/>
    <n v="814033"/>
    <m/>
    <m/>
    <m/>
    <m/>
    <m/>
    <m/>
    <n v="219083140"/>
  </r>
  <r>
    <n v="4"/>
    <n v="82"/>
    <s v="FABIND9INRDZI"/>
    <s v="RELIANCEIN"/>
    <s v="I"/>
    <s v="FI2627000165"/>
    <d v="2026-04-23T00:00:00"/>
    <s v="INR"/>
    <n v="848001.1"/>
    <d v="2026-06-06T00:00:00"/>
    <d v="2026-04-23T00:00:00"/>
    <d v="2026-06-26T00:00:00"/>
    <s v="2000146180"/>
    <d v="2026-04-23T00:00:00"/>
    <m/>
    <m/>
    <s v="TUBULAR POLE 23M HIGH WS-50M/S"/>
    <n v="763200.99"/>
    <n v="7.6999999999999999E-2"/>
    <n v="64"/>
    <n v="10304"/>
    <n v="752896.99"/>
    <m/>
    <m/>
    <m/>
    <m/>
    <m/>
    <m/>
    <n v="219151998.90000001"/>
  </r>
  <r>
    <n v="4"/>
    <n v="83"/>
    <s v="FABIND9INRDZI"/>
    <s v="RELIANCEIN"/>
    <s v="I"/>
    <s v="FI2627000170"/>
    <d v="2026-04-23T00:00:00"/>
    <s v="INR"/>
    <n v="766484.34"/>
    <d v="2026-06-06T00:00:00"/>
    <d v="2026-04-23T00:00:00"/>
    <d v="2026-06-26T00:00:00"/>
    <s v="2000146185"/>
    <d v="2026-04-23T00:00:00"/>
    <m/>
    <m/>
    <s v="TOWER12A TUBULR3 LEG W PLT &amp; FNCE-FAB"/>
    <n v="689835.90599999996"/>
    <n v="7.6999999999999999E-2"/>
    <n v="64"/>
    <n v="9314"/>
    <n v="680521.90599999996"/>
    <m/>
    <m/>
    <m/>
    <m/>
    <m/>
    <m/>
    <n v="219233515.66"/>
  </r>
  <r>
    <n v="4"/>
    <n v="84"/>
    <s v="FABIND9INRDZI"/>
    <s v="RELIANCEIN"/>
    <s v="I"/>
    <s v="FI2627000171"/>
    <d v="2026-04-23T00:00:00"/>
    <s v="INR"/>
    <n v="766484.34"/>
    <d v="2026-06-06T00:00:00"/>
    <d v="2026-04-23T00:00:00"/>
    <d v="2026-06-26T00:00:00"/>
    <s v="2000146189"/>
    <d v="2026-04-23T00:00:00"/>
    <m/>
    <m/>
    <s v="TOWER12A TUBULR3 LEG W PLT &amp; FNCE-FAB"/>
    <n v="689835.90599999996"/>
    <n v="7.6999999999999999E-2"/>
    <n v="64"/>
    <n v="9314"/>
    <n v="680521.90599999996"/>
    <m/>
    <m/>
    <m/>
    <m/>
    <m/>
    <m/>
    <n v="219233515.66"/>
  </r>
  <r>
    <n v="4"/>
    <n v="85"/>
    <s v="FABIND9INRDZI"/>
    <s v="RELIANCEIN"/>
    <s v="I"/>
    <s v="FI2627000175"/>
    <d v="2026-04-23T00:00:00"/>
    <s v="INR"/>
    <n v="766484.34"/>
    <d v="2026-06-06T00:00:00"/>
    <d v="2026-04-23T00:00:00"/>
    <d v="2026-06-26T00:00:00"/>
    <s v="2000146186"/>
    <d v="2026-04-23T00:00:00"/>
    <m/>
    <m/>
    <s v="TOWER12A TUBULR3 LEG W PLT &amp; FNCE-FAB"/>
    <n v="689835.90599999996"/>
    <n v="7.6999999999999999E-2"/>
    <n v="64"/>
    <n v="9314"/>
    <n v="680521.90599999996"/>
    <m/>
    <m/>
    <m/>
    <m/>
    <m/>
    <m/>
    <n v="219233515.66"/>
  </r>
  <r>
    <n v="5"/>
    <n v="86"/>
    <s v="FABIND9INRDZI"/>
    <s v="RELIANCEIN"/>
    <s v="I"/>
    <s v="FI2627000181"/>
    <d v="2026-04-24T00:00:00"/>
    <s v="INR"/>
    <n v="766484.34"/>
    <d v="2026-06-07T00:00:00"/>
    <d v="2026-04-24T00:00:00"/>
    <d v="2026-06-27T00:00:00"/>
    <s v="2000146210"/>
    <d v="2026-04-24T00:00:00"/>
    <m/>
    <m/>
    <s v="TOWER12A TUBULR3 LEG W PLT &amp; FNCE-FAB"/>
    <n v="689835.90599999996"/>
    <n v="7.6999999999999999E-2"/>
    <n v="64"/>
    <n v="9314"/>
    <n v="680521.90599999996"/>
    <m/>
    <m/>
    <m/>
    <m/>
    <m/>
    <m/>
    <n v="219233515.66"/>
  </r>
  <r>
    <n v="5"/>
    <n v="87"/>
    <s v="FABIND9INRDZI"/>
    <s v="RELIANCEIN"/>
    <s v="I"/>
    <s v="FI2627000187"/>
    <d v="2026-04-24T00:00:00"/>
    <s v="INR"/>
    <n v="766484.34"/>
    <d v="2026-06-07T00:00:00"/>
    <d v="2026-04-24T00:00:00"/>
    <d v="2026-06-27T00:00:00"/>
    <s v="2000146212"/>
    <d v="2026-04-24T00:00:00"/>
    <m/>
    <m/>
    <s v="TOWER12A TUBULR3 LEG W PLT &amp; FNCE-FAB"/>
    <n v="689835.90599999996"/>
    <n v="7.6999999999999999E-2"/>
    <n v="64"/>
    <n v="9314"/>
    <n v="680521.90599999996"/>
    <m/>
    <m/>
    <m/>
    <m/>
    <m/>
    <m/>
    <n v="219233515.66"/>
  </r>
  <r>
    <n v="6"/>
    <n v="88"/>
    <s v="FABIND9INRDZI"/>
    <s v="RELIANCEIN"/>
    <s v="I"/>
    <s v="FI2627000191"/>
    <d v="2026-04-24T00:00:00"/>
    <s v="INR"/>
    <n v="1151810.98"/>
    <d v="2026-06-07T00:00:00"/>
    <d v="2026-04-27T00:00:00"/>
    <d v="2026-06-27T00:00:00"/>
    <s v="2000146217"/>
    <d v="2026-04-24T00:00:00"/>
    <m/>
    <m/>
    <s v="GBT60M11A-STR439M/STUBLR3L W FENCE"/>
    <n v="1036629.882"/>
    <n v="7.6999999999999999E-2"/>
    <n v="61"/>
    <n v="13340"/>
    <n v="1023289.882"/>
    <m/>
    <m/>
    <m/>
    <m/>
    <m/>
    <m/>
    <n v="218848189.02000001"/>
  </r>
  <r>
    <n v="6"/>
    <n v="89"/>
    <s v="FABIND9INRDZI"/>
    <s v="RELIANCEIN"/>
    <s v="I"/>
    <s v="FI2627000201"/>
    <d v="2026-04-26T00:00:00"/>
    <s v="INR"/>
    <n v="766484.34"/>
    <d v="2026-06-09T00:00:00"/>
    <d v="2026-04-27T00:00:00"/>
    <d v="2026-06-29T00:00:00"/>
    <s v="2000146236"/>
    <d v="2026-04-26T00:00:00"/>
    <m/>
    <m/>
    <s v="TOWER12A TUBULR3 LEG W PLT &amp; FNCE-FAB"/>
    <n v="689835.90599999996"/>
    <n v="7.6999999999999999E-2"/>
    <n v="63"/>
    <n v="9168"/>
    <n v="680667.90599999996"/>
    <m/>
    <m/>
    <m/>
    <m/>
    <m/>
    <m/>
    <n v="219233515.66"/>
  </r>
  <r>
    <n v="0"/>
    <n v="90"/>
    <s v="FABIND9INRDZI"/>
    <s v="SIEMENSLTD"/>
    <s v="I"/>
    <s v="FI2526007253"/>
    <d v="2025-12-29T00:00:00"/>
    <s v="INR"/>
    <n v="17142711.34"/>
    <d v="2026-04-28T00:00:00"/>
    <d v="2026-02-09T00:00:00"/>
    <d v="2026-05-18T00:00:00"/>
    <m/>
    <d v="2025-12-29T00:00:00"/>
    <m/>
    <m/>
    <m/>
    <n v="15428440.206"/>
    <n v="7.6999999999999999E-2"/>
    <n v="98"/>
    <n v="318967"/>
    <n v="15109473.206"/>
    <m/>
    <m/>
    <m/>
    <m/>
    <m/>
    <m/>
    <n v="66187288.659999996"/>
  </r>
  <r>
    <n v="0"/>
    <n v="91"/>
    <s v="FABIND9INRDZI"/>
    <s v="SIEMENSLTD"/>
    <s v="I"/>
    <s v="FI2526007571"/>
    <d v="2026-01-15T00:00:00"/>
    <s v="INR"/>
    <n v="40214"/>
    <d v="2026-05-15T00:00:00"/>
    <d v="2026-02-09T00:00:00"/>
    <d v="2026-06-04T00:00:00"/>
    <m/>
    <d v="2026-01-15T00:00:00"/>
    <m/>
    <m/>
    <m/>
    <n v="36192.6"/>
    <n v="7.6999999999999999E-2"/>
    <n v="115"/>
    <n v="878"/>
    <n v="35314.6"/>
    <m/>
    <m/>
    <m/>
    <m/>
    <m/>
    <m/>
    <n v="83289786"/>
  </r>
  <r>
    <n v="0"/>
    <n v="92"/>
    <s v="FABIND9INRDZI"/>
    <s v="SIEMENSLTD"/>
    <s v="I"/>
    <s v="FI2526007776"/>
    <d v="2026-01-21T00:00:00"/>
    <s v="INR"/>
    <n v="10602"/>
    <d v="2026-05-21T00:00:00"/>
    <d v="2026-02-09T00:00:00"/>
    <d v="2026-06-10T00:00:00"/>
    <m/>
    <d v="2026-01-21T00:00:00"/>
    <m/>
    <m/>
    <m/>
    <n v="9541.8000000000011"/>
    <n v="7.6999999999999999E-2"/>
    <n v="121"/>
    <n v="244"/>
    <n v="9297.8000000000011"/>
    <m/>
    <m/>
    <m/>
    <m/>
    <m/>
    <m/>
    <n v="83319398"/>
  </r>
  <r>
    <n v="0"/>
    <n v="93"/>
    <s v="FABIND9INRDZI"/>
    <s v="SIEMENSLTD"/>
    <s v="I"/>
    <s v="FI2526007863"/>
    <d v="2026-01-24T00:00:00"/>
    <s v="INR"/>
    <n v="4838730"/>
    <d v="2026-05-24T00:00:00"/>
    <d v="2026-02-09T00:00:00"/>
    <d v="2026-06-13T00:00:00"/>
    <m/>
    <d v="2026-01-24T00:00:00"/>
    <m/>
    <m/>
    <m/>
    <n v="4354857"/>
    <n v="7.6999999999999999E-2"/>
    <n v="124"/>
    <n v="113918"/>
    <n v="4240939"/>
    <m/>
    <m/>
    <m/>
    <m/>
    <m/>
    <m/>
    <n v="78491270"/>
  </r>
  <r>
    <n v="0"/>
    <n v="94"/>
    <s v="FABIND9INRDZI"/>
    <s v="SIEMENSLTD"/>
    <s v="I"/>
    <s v="FI2526008626"/>
    <d v="2026-02-19T00:00:00"/>
    <s v="INR"/>
    <n v="84594.2"/>
    <d v="2026-06-19T00:00:00"/>
    <d v="2026-04-17T00:00:00"/>
    <d v="2026-07-09T00:00:00"/>
    <m/>
    <d v="2026-02-19T00:00:00"/>
    <m/>
    <m/>
    <m/>
    <n v="76134.78"/>
    <n v="7.6999999999999999E-2"/>
    <n v="83"/>
    <n v="1333"/>
    <n v="74801.78"/>
    <m/>
    <m/>
    <m/>
    <m/>
    <m/>
    <m/>
    <n v="83245405.799999997"/>
  </r>
  <r>
    <n v="0"/>
    <n v="95"/>
    <s v="FABIND9INRDZI"/>
    <s v="SIEMENSLTD"/>
    <s v="I"/>
    <s v="FI2526008627"/>
    <d v="2026-02-19T00:00:00"/>
    <s v="INR"/>
    <n v="92346.8"/>
    <d v="2026-06-19T00:00:00"/>
    <d v="2026-04-17T00:00:00"/>
    <d v="2026-07-09T00:00:00"/>
    <m/>
    <d v="2026-02-19T00:00:00"/>
    <m/>
    <m/>
    <m/>
    <n v="83112.12000000001"/>
    <n v="7.6999999999999999E-2"/>
    <n v="83"/>
    <n v="1455"/>
    <n v="81657.12000000001"/>
    <m/>
    <m/>
    <m/>
    <m/>
    <m/>
    <m/>
    <n v="83237653.200000003"/>
  </r>
  <r>
    <n v="0"/>
    <n v="96"/>
    <s v="FABIND9INRDZI"/>
    <s v="SIEMENSLTD"/>
    <s v="I"/>
    <s v="FI2526008643"/>
    <d v="2026-02-20T00:00:00"/>
    <s v="INR"/>
    <n v="8340.24"/>
    <d v="2026-06-20T00:00:00"/>
    <d v="2026-04-17T00:00:00"/>
    <d v="2026-07-10T00:00:00"/>
    <m/>
    <d v="2026-02-20T00:00:00"/>
    <m/>
    <m/>
    <m/>
    <n v="7506.2160000000003"/>
    <n v="7.6999999999999999E-2"/>
    <n v="84"/>
    <n v="133"/>
    <n v="7373.2160000000003"/>
    <m/>
    <m/>
    <m/>
    <m/>
    <m/>
    <m/>
    <n v="83321659.760000005"/>
  </r>
  <r>
    <n v="0"/>
    <n v="97"/>
    <s v="FABIND9INRDZI"/>
    <s v="SIEMENSLTD"/>
    <s v="I"/>
    <s v="FI2526008847"/>
    <d v="2026-02-24T00:00:00"/>
    <s v="INR"/>
    <n v="1324019"/>
    <d v="2026-06-24T00:00:00"/>
    <d v="2026-04-17T00:00:00"/>
    <d v="2026-07-14T00:00:00"/>
    <m/>
    <d v="2026-02-24T00:00:00"/>
    <m/>
    <m/>
    <m/>
    <n v="1191617.1000000001"/>
    <n v="7.6999999999999999E-2"/>
    <n v="88"/>
    <n v="22122"/>
    <n v="1169495.1000000001"/>
    <m/>
    <m/>
    <m/>
    <m/>
    <m/>
    <m/>
    <n v="82005981"/>
  </r>
  <r>
    <n v="0"/>
    <n v="98"/>
    <s v="FABIND9INRDZI"/>
    <s v="SIEMENSLTD"/>
    <s v="I"/>
    <s v="FI2526009296"/>
    <d v="2026-03-10T00:00:00"/>
    <s v="INR"/>
    <n v="548932.46"/>
    <d v="2026-07-08T00:00:00"/>
    <d v="2026-04-17T00:00:00"/>
    <d v="2026-07-28T00:00:00"/>
    <m/>
    <d v="2026-03-10T00:00:00"/>
    <m/>
    <m/>
    <m/>
    <n v="494039.21399999998"/>
    <n v="7.6999999999999999E-2"/>
    <n v="102"/>
    <n v="10631"/>
    <n v="483408.21399999998"/>
    <m/>
    <m/>
    <m/>
    <m/>
    <m/>
    <m/>
    <n v="82781067.540000007"/>
  </r>
  <r>
    <n v="0"/>
    <n v="99"/>
    <s v="FABIND9INRDZI"/>
    <s v="SIEMENSLTD"/>
    <s v="I"/>
    <s v="FI2526009297"/>
    <d v="2026-03-10T00:00:00"/>
    <s v="INR"/>
    <n v="1132374.02"/>
    <d v="2026-07-08T00:00:00"/>
    <d v="2026-04-17T00:00:00"/>
    <d v="2026-07-28T00:00:00"/>
    <m/>
    <d v="2026-03-10T00:00:00"/>
    <m/>
    <m/>
    <m/>
    <n v="1019136.618"/>
    <n v="7.6999999999999999E-2"/>
    <n v="102"/>
    <n v="21930"/>
    <n v="997206.61800000002"/>
    <m/>
    <m/>
    <m/>
    <m/>
    <m/>
    <m/>
    <n v="82197625.980000004"/>
  </r>
  <r>
    <n v="0"/>
    <n v="100"/>
    <s v="FABIND9INRDZI"/>
    <s v="SIEMENSLTD"/>
    <s v="I"/>
    <s v="FI2526009375"/>
    <d v="2026-03-13T00:00:00"/>
    <s v="INR"/>
    <n v="2100392.92"/>
    <d v="2026-07-11T00:00:00"/>
    <d v="2026-04-17T00:00:00"/>
    <d v="2026-07-31T00:00:00"/>
    <m/>
    <d v="2026-03-13T00:00:00"/>
    <m/>
    <m/>
    <m/>
    <n v="1890353.628"/>
    <n v="7.6999999999999999E-2"/>
    <n v="105"/>
    <n v="41873"/>
    <n v="1848480.628"/>
    <m/>
    <m/>
    <m/>
    <m/>
    <m/>
    <m/>
    <n v="81229607.079999998"/>
  </r>
  <r>
    <n v="0"/>
    <n v="101"/>
    <s v="FABIND9INRDZI"/>
    <s v="SIEMENSLTD"/>
    <s v="I"/>
    <s v="FI2526009442"/>
    <d v="2026-03-16T00:00:00"/>
    <s v="INR"/>
    <n v="2956569.06"/>
    <d v="2026-07-14T00:00:00"/>
    <d v="2026-04-17T00:00:00"/>
    <d v="2026-08-03T00:00:00"/>
    <m/>
    <d v="2026-03-16T00:00:00"/>
    <m/>
    <m/>
    <m/>
    <n v="2660912.1540000001"/>
    <n v="7.6999999999999999E-2"/>
    <n v="108"/>
    <n v="60625"/>
    <n v="2600287.1540000001"/>
    <m/>
    <m/>
    <m/>
    <m/>
    <m/>
    <m/>
    <n v="80373430.939999998"/>
  </r>
  <r>
    <n v="0"/>
    <n v="102"/>
    <s v="FABIND9INRDZI"/>
    <s v="SIEMENSLTD"/>
    <s v="I"/>
    <s v="FI2526009688"/>
    <d v="2026-03-26T00:00:00"/>
    <s v="INR"/>
    <n v="451109.28"/>
    <d v="2026-07-24T00:00:00"/>
    <d v="2026-04-17T00:00:00"/>
    <d v="2026-08-13T00:00:00"/>
    <m/>
    <d v="2026-03-26T00:00:00"/>
    <m/>
    <m/>
    <m/>
    <n v="405998.35200000001"/>
    <n v="7.6999999999999999E-2"/>
    <n v="118"/>
    <n v="10107"/>
    <n v="395891.35200000001"/>
    <m/>
    <m/>
    <m/>
    <m/>
    <m/>
    <m/>
    <n v="82878890.719999999"/>
  </r>
  <r>
    <n v="0"/>
    <n v="103"/>
    <s v="FABIND9INRDZI"/>
    <s v="SIEMENSLTD"/>
    <s v="I"/>
    <s v="FI2526009689"/>
    <d v="2026-03-26T00:00:00"/>
    <s v="INR"/>
    <n v="155809.56"/>
    <d v="2026-07-24T00:00:00"/>
    <d v="2026-04-17T00:00:00"/>
    <d v="2026-08-13T00:00:00"/>
    <m/>
    <d v="2026-03-26T00:00:00"/>
    <m/>
    <m/>
    <m/>
    <n v="140228.60399999999"/>
    <n v="7.6999999999999999E-2"/>
    <n v="118"/>
    <n v="3491"/>
    <n v="136737.60399999999"/>
    <m/>
    <m/>
    <m/>
    <m/>
    <m/>
    <m/>
    <n v="83174190.439999998"/>
  </r>
  <r>
    <n v="0"/>
    <n v="104"/>
    <s v="FABIND9INRDZI"/>
    <s v="SIEMENSLTD"/>
    <s v="I"/>
    <s v="FI2526009710"/>
    <d v="2026-03-30T00:00:00"/>
    <s v="INR"/>
    <n v="1625674.2"/>
    <d v="2026-07-28T00:00:00"/>
    <d v="2026-04-17T00:00:00"/>
    <d v="2026-08-17T00:00:00"/>
    <m/>
    <d v="2026-03-30T00:00:00"/>
    <m/>
    <m/>
    <m/>
    <n v="1463106.78"/>
    <n v="7.6999999999999999E-2"/>
    <n v="122"/>
    <n v="37656"/>
    <n v="1425450.78"/>
    <m/>
    <m/>
    <m/>
    <m/>
    <m/>
    <m/>
    <n v="81704325.799999997"/>
  </r>
  <r>
    <n v="0"/>
    <n v="105"/>
    <s v="FABIND9INRDZI"/>
    <s v="SIEMENSLTD"/>
    <s v="I"/>
    <s v="FI2526009711"/>
    <d v="2026-03-30T00:00:00"/>
    <s v="INR"/>
    <n v="1627034.74"/>
    <d v="2026-07-28T00:00:00"/>
    <d v="2026-04-17T00:00:00"/>
    <d v="2026-08-17T00:00:00"/>
    <m/>
    <d v="2026-03-30T00:00:00"/>
    <m/>
    <m/>
    <m/>
    <n v="1464331.2660000001"/>
    <n v="7.6999999999999999E-2"/>
    <n v="122"/>
    <n v="37687"/>
    <n v="1426644.2660000001"/>
    <m/>
    <m/>
    <m/>
    <m/>
    <m/>
    <m/>
    <n v="81702965.260000005"/>
  </r>
  <r>
    <n v="1"/>
    <n v="106"/>
    <s v="FABIND9INRDZI"/>
    <s v="SIEMENSLTD"/>
    <s v="I"/>
    <s v="FI2627000103"/>
    <d v="2026-04-17T00:00:00"/>
    <s v="INR"/>
    <n v="5560.16"/>
    <d v="2026-08-15T00:00:00"/>
    <d v="2026-04-23T00:00:00"/>
    <d v="2026-09-04T00:00:00"/>
    <n v="91749"/>
    <d v="2026-04-17T00:00:00"/>
    <m/>
    <m/>
    <s v="C1B1124001756002-Suprt Plate Bsbr 2 Bsbr"/>
    <n v="5004.1440000000002"/>
    <n v="7.6999999999999999E-2"/>
    <n v="134"/>
    <n v="141"/>
    <n v="4863.1440000000002"/>
    <m/>
    <m/>
    <m/>
    <m/>
    <m/>
    <m/>
    <n v="83324439.840000004"/>
  </r>
  <r>
    <n v="1"/>
    <n v="107"/>
    <s v="FABIND9INRDZI"/>
    <s v="SIEMENSLTD"/>
    <s v="I"/>
    <s v="FI2627000138"/>
    <d v="2026-04-21T00:00:00"/>
    <s v="INR"/>
    <n v="357129.36"/>
    <d v="2026-08-19T00:00:00"/>
    <d v="2026-04-23T00:00:00"/>
    <d v="2026-09-08T00:00:00"/>
    <s v="NSK/7547"/>
    <d v="2026-04-21T00:00:00"/>
    <m/>
    <m/>
    <s v="PTD5903864004-Struct ISA 65X65X6"/>
    <n v="321416.424"/>
    <n v="7.6999999999999999E-2"/>
    <n v="138"/>
    <n v="9357"/>
    <n v="312059.424"/>
    <m/>
    <m/>
    <m/>
    <m/>
    <m/>
    <m/>
    <n v="82972870.640000001"/>
  </r>
  <r>
    <n v="1"/>
    <n v="108"/>
    <s v="FABIND9INRDZI"/>
    <s v="SIEMENSLTD"/>
    <s v="I"/>
    <s v="FI2627000141"/>
    <d v="2026-04-21T00:00:00"/>
    <s v="INR"/>
    <n v="418134.18"/>
    <d v="2026-08-19T00:00:00"/>
    <d v="2026-04-23T00:00:00"/>
    <d v="2026-09-08T00:00:00"/>
    <s v="NSK/7546"/>
    <d v="2026-04-21T00:00:00"/>
    <m/>
    <m/>
    <s v="PTD5903894001-Struct ISA 7575X8-3230L"/>
    <n v="376320.76199999999"/>
    <n v="7.6999999999999999E-2"/>
    <n v="138"/>
    <n v="10956"/>
    <n v="365364.76199999999"/>
    <m/>
    <m/>
    <m/>
    <m/>
    <m/>
    <m/>
    <n v="82911865.819999993"/>
  </r>
  <r>
    <n v="1"/>
    <n v="109"/>
    <s v="FABIND9INRDZI"/>
    <s v="SIEMENSLTD"/>
    <s v="I"/>
    <s v="FI2627000145"/>
    <d v="2026-04-21T00:00:00"/>
    <s v="INR"/>
    <n v="479139"/>
    <d v="2026-08-19T00:00:00"/>
    <d v="2026-04-23T00:00:00"/>
    <d v="2026-09-08T00:00:00"/>
    <s v="NSK/7545"/>
    <d v="2026-04-21T00:00:00"/>
    <m/>
    <m/>
    <s v="PTD5903754003-FB M39 X1080"/>
    <n v="431225.10000000003"/>
    <n v="7.6999999999999999E-2"/>
    <n v="138"/>
    <n v="12554"/>
    <n v="418671.10000000003"/>
    <m/>
    <m/>
    <m/>
    <m/>
    <m/>
    <m/>
    <n v="82850861"/>
  </r>
  <r>
    <n v="1"/>
    <n v="110"/>
    <s v="FABIND9INRDZI"/>
    <s v="SIEMENSLTD"/>
    <s v="I"/>
    <s v="FI2627000147"/>
    <d v="2026-04-21T00:00:00"/>
    <s v="INR"/>
    <n v="692866.5"/>
    <d v="2026-08-19T00:00:00"/>
    <d v="2026-04-23T00:00:00"/>
    <d v="2026-09-08T00:00:00"/>
    <s v="NSK/7548"/>
    <d v="2026-04-21T00:00:00"/>
    <m/>
    <m/>
    <s v="PTD5903754002 FB M36X1080 Non-PG 420 KV"/>
    <n v="623579.85"/>
    <n v="7.6999999999999999E-2"/>
    <n v="138"/>
    <n v="18154"/>
    <n v="605425.85"/>
    <m/>
    <m/>
    <m/>
    <m/>
    <m/>
    <m/>
    <n v="82637133.5"/>
  </r>
  <r>
    <n v="2"/>
    <n v="111"/>
    <s v="FABIND9INRDZI"/>
    <s v="SIEMENSLTD"/>
    <s v="I"/>
    <s v="FI2627000162"/>
    <d v="2026-04-22T00:00:00"/>
    <s v="INR"/>
    <n v="155809.56"/>
    <d v="2026-08-20T00:00:00"/>
    <d v="2026-04-23T00:00:00"/>
    <d v="2026-09-09T00:00:00"/>
    <s v="NSK/7583"/>
    <d v="2026-04-22T00:00:00"/>
    <m/>
    <m/>
    <s v="PTD5903542001-Platform wt Ladder 1450 Ht"/>
    <n v="140228.60399999999"/>
    <n v="7.6999999999999999E-2"/>
    <n v="139"/>
    <n v="4112"/>
    <n v="136116.60399999999"/>
    <m/>
    <m/>
    <m/>
    <m/>
    <m/>
    <m/>
    <n v="83174190.439999998"/>
  </r>
  <r>
    <n v="2"/>
    <n v="112"/>
    <s v="FABIND9INRDZI"/>
    <s v="SIEMENSLTD"/>
    <s v="I"/>
    <s v="FI2627000163"/>
    <d v="2026-04-22T00:00:00"/>
    <s v="INR"/>
    <n v="230361.96"/>
    <d v="2026-08-20T00:00:00"/>
    <d v="2026-04-23T00:00:00"/>
    <d v="2026-09-09T00:00:00"/>
    <s v="NSK/7582"/>
    <d v="2026-04-22T00:00:00"/>
    <m/>
    <m/>
    <s v="PTD5903542001-Platform wt Ladder 1450 Ht"/>
    <n v="207325.764"/>
    <n v="7.6999999999999999E-2"/>
    <n v="139"/>
    <n v="6079"/>
    <n v="201246.764"/>
    <m/>
    <m/>
    <m/>
    <m/>
    <m/>
    <m/>
    <n v="83099638.040000007"/>
  </r>
  <r>
    <n v="3"/>
    <n v="113"/>
    <s v="FABIND9INRDZI"/>
    <s v="SIEMENSLTD"/>
    <s v="I"/>
    <s v="FI2627000166"/>
    <d v="2026-04-23T00:00:00"/>
    <s v="INR"/>
    <n v="129841.3"/>
    <d v="2026-08-21T00:00:00"/>
    <d v="2026-04-23T00:00:00"/>
    <d v="2026-09-10T00:00:00"/>
    <s v="NSK/7583"/>
    <d v="2026-04-23T00:00:00"/>
    <m/>
    <m/>
    <s v="PTD5903542001-Platform wt Ladder 1450 Ht"/>
    <n v="116857.17"/>
    <n v="7.6999999999999999E-2"/>
    <n v="140"/>
    <n v="3451"/>
    <n v="113406.17"/>
    <m/>
    <m/>
    <m/>
    <m/>
    <m/>
    <m/>
    <n v="83200158.700000003"/>
  </r>
  <r>
    <n v="3"/>
    <n v="114"/>
    <s v="FABIND9INRDZI"/>
    <s v="SIEMENSLTD"/>
    <s v="I"/>
    <s v="FI2627000174"/>
    <d v="2026-04-23T00:00:00"/>
    <s v="INR"/>
    <n v="150509"/>
    <d v="2026-08-21T00:00:00"/>
    <d v="2026-04-23T00:00:00"/>
    <d v="2026-09-10T00:00:00"/>
    <s v="NSK/7606"/>
    <d v="2026-04-23T00:00:00"/>
    <m/>
    <m/>
    <s v="PTD5903542001-Platform wt Ladder 1450 Ht"/>
    <n v="135458.1"/>
    <n v="7.6999999999999999E-2"/>
    <n v="140"/>
    <n v="4001"/>
    <n v="131457.1"/>
    <m/>
    <m/>
    <m/>
    <m/>
    <m/>
    <m/>
    <n v="8317949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s v="Invoice Disc Tranch"/>
    <s v="No."/>
    <s v="Account Code"/>
    <x v="0"/>
    <s v="Instrument Type"/>
    <s v="Instrument Number"/>
    <s v="Instrument Date"/>
    <s v="Instrument Currency"/>
    <s v="Instrument Amount"/>
    <s v="Instrument Due Date"/>
    <s v="Disbursement Date"/>
    <s v="Maturity Date"/>
    <s v="Transport Document Reference Number"/>
    <s v="Transport Document Date"/>
    <s v="Port of Loading"/>
    <s v="Port of discharge"/>
    <s v="Goods Descriptions"/>
    <s v="DBS bank Accepted amount"/>
    <s v="Int Rate"/>
    <s v="No of days discount"/>
    <s v="Disc Interest"/>
    <s v="Disbursment"/>
    <s v="Repayment Date"/>
    <s v="Repayment Lot"/>
    <s v="Repayment amount"/>
    <s v="Balance payable/ Refund"/>
    <s v="Prepayment days"/>
    <s v="Interest reversal "/>
    <s v="Available Balance"/>
  </r>
  <r>
    <n v="1"/>
    <n v="1"/>
    <s v="FABIND9INRDZI"/>
    <x v="1"/>
    <s v="I"/>
    <s v="FI2627000000"/>
    <d v="2026-04-02T00:00:00"/>
    <s v="INR"/>
    <n v="561855.81999999995"/>
    <d v="2026-05-12T00:00:00"/>
    <d v="2026-04-17T00:00:00"/>
    <d v="2026-06-01T00:00:00"/>
    <n v="10001"/>
    <d v="2026-04-02T00:00:00"/>
    <m/>
    <m/>
    <s v="NBT 40Mtr Tower"/>
    <n v="505670.23799999995"/>
    <n v="7.6999999999999999E-2"/>
    <n v="45"/>
    <n v="4800"/>
    <n v="500870.23799999995"/>
    <m/>
    <m/>
    <m/>
    <m/>
    <n v="46174"/>
    <n v="4925227"/>
    <n v="274438144.18000001"/>
  </r>
  <r>
    <n v="1"/>
    <n v="2"/>
    <s v="FABIND9INRDZI"/>
    <x v="1"/>
    <s v="I"/>
    <s v="FI2627000001"/>
    <d v="2026-04-02T00:00:00"/>
    <s v="INR"/>
    <n v="561855.81999999995"/>
    <d v="2026-05-12T00:00:00"/>
    <d v="2026-04-17T00:00:00"/>
    <d v="2026-06-01T00:00:00"/>
    <n v="10003"/>
    <d v="2026-04-02T00:00:00"/>
    <m/>
    <m/>
    <s v="NBT 40Mtr Tower"/>
    <n v="505670.23799999995"/>
    <n v="7.6999999999999999E-2"/>
    <n v="45"/>
    <n v="4800"/>
    <n v="500870.23799999995"/>
    <m/>
    <m/>
    <m/>
    <m/>
    <m/>
    <m/>
    <n v="274438144.18000001"/>
  </r>
  <r>
    <n v="1"/>
    <n v="3"/>
    <s v="FABIND9INRDZI"/>
    <x v="1"/>
    <s v="I"/>
    <s v="FI2627000002"/>
    <d v="2026-04-02T00:00:00"/>
    <s v="INR"/>
    <n v="561855.81999999995"/>
    <d v="2026-05-12T00:00:00"/>
    <d v="2026-04-17T00:00:00"/>
    <d v="2026-06-01T00:00:00"/>
    <n v="10002"/>
    <d v="2026-04-02T00:00:00"/>
    <m/>
    <m/>
    <s v="NBT 40Mtr Tower"/>
    <n v="505670.23799999995"/>
    <n v="7.6999999999999999E-2"/>
    <n v="45"/>
    <n v="4800"/>
    <n v="500870.23799999995"/>
    <m/>
    <m/>
    <m/>
    <m/>
    <m/>
    <m/>
    <n v="274438144.18000001"/>
  </r>
  <r>
    <n v="1"/>
    <n v="4"/>
    <s v="FABIND9INRDZI"/>
    <x v="1"/>
    <s v="I"/>
    <s v="FI2627000003"/>
    <d v="2026-04-02T00:00:00"/>
    <s v="INR"/>
    <n v="561855.81999999995"/>
    <d v="2026-05-12T00:00:00"/>
    <d v="2026-04-17T00:00:00"/>
    <d v="2026-06-01T00:00:00"/>
    <n v="10004"/>
    <d v="2026-04-02T00:00:00"/>
    <m/>
    <m/>
    <s v="NBT 40Mtr Tower"/>
    <n v="505670.23799999995"/>
    <n v="7.6999999999999999E-2"/>
    <n v="45"/>
    <n v="4800"/>
    <n v="500870.23799999995"/>
    <m/>
    <m/>
    <m/>
    <m/>
    <m/>
    <m/>
    <n v="274438144.18000001"/>
  </r>
  <r>
    <n v="1"/>
    <n v="5"/>
    <s v="FABIND9INRDZI"/>
    <x v="1"/>
    <s v="I"/>
    <s v="FI2627000005"/>
    <d v="2026-04-03T00:00:00"/>
    <s v="INR"/>
    <n v="561855.81999999995"/>
    <d v="2026-05-13T00:00:00"/>
    <d v="2026-04-17T00:00:00"/>
    <d v="2026-06-02T00:00:00"/>
    <n v="10005"/>
    <d v="2026-04-03T00:00:00"/>
    <m/>
    <m/>
    <s v="NBT 40Mtr Tower"/>
    <n v="505670.23799999995"/>
    <n v="7.6999999999999999E-2"/>
    <n v="46"/>
    <n v="4907"/>
    <n v="500763.23799999995"/>
    <m/>
    <m/>
    <m/>
    <m/>
    <m/>
    <m/>
    <n v="274438144.18000001"/>
  </r>
  <r>
    <n v="1"/>
    <n v="6"/>
    <s v="FABIND9INRDZI"/>
    <x v="1"/>
    <s v="I"/>
    <s v="FI2627000006"/>
    <d v="2026-04-03T00:00:00"/>
    <s v="INR"/>
    <n v="561855.81999999995"/>
    <d v="2026-05-13T00:00:00"/>
    <d v="2026-04-17T00:00:00"/>
    <d v="2026-06-02T00:00:00"/>
    <n v="10006"/>
    <d v="2026-04-03T00:00:00"/>
    <m/>
    <m/>
    <s v="NBT 40Mtr Tower"/>
    <n v="505670.23799999995"/>
    <n v="7.6999999999999999E-2"/>
    <n v="46"/>
    <n v="4907"/>
    <n v="500763.23799999995"/>
    <m/>
    <m/>
    <m/>
    <m/>
    <m/>
    <m/>
    <n v="274438144.18000001"/>
  </r>
  <r>
    <n v="1"/>
    <n v="7"/>
    <s v="FABIND9INRDZI"/>
    <x v="1"/>
    <s v="I"/>
    <s v="FI2627000016"/>
    <d v="2026-04-03T00:00:00"/>
    <s v="INR"/>
    <n v="442595.58"/>
    <d v="2026-05-13T00:00:00"/>
    <d v="2026-04-17T00:00:00"/>
    <d v="2026-06-02T00:00:00"/>
    <n v="10007"/>
    <d v="2026-04-03T00:00:00"/>
    <m/>
    <m/>
    <s v="TOWER GBT 3Legged VM 30M 170KMPH"/>
    <n v="398336.022"/>
    <n v="7.6999999999999999E-2"/>
    <n v="46"/>
    <n v="3865"/>
    <n v="394471.022"/>
    <m/>
    <m/>
    <m/>
    <m/>
    <m/>
    <m/>
    <n v="274557404.42000002"/>
  </r>
  <r>
    <n v="1"/>
    <n v="8"/>
    <s v="FABIND9INRDZI"/>
    <x v="1"/>
    <s v="I"/>
    <s v="FI2627000027"/>
    <d v="2026-04-05T00:00:00"/>
    <s v="INR"/>
    <n v="752314.9"/>
    <d v="2026-05-15T00:00:00"/>
    <d v="2026-04-17T00:00:00"/>
    <d v="2026-06-04T00:00:00"/>
    <n v="78287"/>
    <d v="2026-04-05T00:00:00"/>
    <m/>
    <m/>
    <s v="BIL - Tower GBT 40M 200 KMPH"/>
    <n v="677083.41"/>
    <n v="7.6999999999999999E-2"/>
    <n v="48"/>
    <n v="6856"/>
    <n v="670227.41"/>
    <m/>
    <m/>
    <m/>
    <m/>
    <m/>
    <m/>
    <n v="274247685.10000002"/>
  </r>
  <r>
    <n v="1"/>
    <n v="9"/>
    <s v="FABIND9INRDZI"/>
    <x v="1"/>
    <s v="I"/>
    <s v="FI2627000030"/>
    <d v="2026-04-05T00:00:00"/>
    <s v="INR"/>
    <n v="689850.92"/>
    <d v="2026-05-15T00:00:00"/>
    <d v="2026-04-17T00:00:00"/>
    <d v="2026-06-04T00:00:00"/>
    <n v="10010"/>
    <d v="2026-04-05T00:00:00"/>
    <m/>
    <m/>
    <s v="INDUS SOLAR STRUCTURE(2PX5-30/20 DEGREE)"/>
    <n v="620865.8280000001"/>
    <n v="7.6999999999999999E-2"/>
    <n v="48"/>
    <n v="6287"/>
    <n v="614578.8280000001"/>
    <m/>
    <m/>
    <m/>
    <m/>
    <m/>
    <m/>
    <n v="274310149.07999998"/>
  </r>
  <r>
    <n v="1"/>
    <n v="10"/>
    <s v="FABIND9INRDZI"/>
    <x v="1"/>
    <s v="I"/>
    <s v="FI2627000031"/>
    <d v="2026-04-05T00:00:00"/>
    <s v="INR"/>
    <n v="689850.92"/>
    <d v="2026-05-15T00:00:00"/>
    <d v="2026-04-17T00:00:00"/>
    <d v="2026-06-04T00:00:00"/>
    <n v="10011"/>
    <d v="2026-04-05T00:00:00"/>
    <m/>
    <m/>
    <s v="INDUS SOLAR STRUCTURE(2PX5-30/20 DEGREE)"/>
    <n v="620865.8280000001"/>
    <n v="7.6999999999999999E-2"/>
    <n v="48"/>
    <n v="6287"/>
    <n v="614578.8280000001"/>
    <m/>
    <m/>
    <m/>
    <m/>
    <m/>
    <m/>
    <n v="274310149.07999998"/>
  </r>
  <r>
    <n v="1"/>
    <n v="11"/>
    <s v="FABIND9INRDZI"/>
    <x v="1"/>
    <s v="I"/>
    <s v="FI2627000032"/>
    <d v="2026-04-05T00:00:00"/>
    <s v="INR"/>
    <n v="232106"/>
    <d v="2026-05-15T00:00:00"/>
    <d v="2026-04-17T00:00:00"/>
    <d v="2026-06-04T00:00:00"/>
    <n v="10014"/>
    <d v="2026-04-05T00:00:00"/>
    <m/>
    <m/>
    <s v="CIP RITA 15MTR"/>
    <n v="208895.4"/>
    <n v="7.6999999999999999E-2"/>
    <n v="48"/>
    <n v="2115"/>
    <n v="206780.4"/>
    <m/>
    <m/>
    <m/>
    <m/>
    <m/>
    <m/>
    <n v="274767894"/>
  </r>
  <r>
    <n v="2"/>
    <n v="12"/>
    <s v="FABIND9INRDZI"/>
    <x v="1"/>
    <s v="I"/>
    <s v="FI2627000043"/>
    <d v="2026-04-06T00:00:00"/>
    <s v="INR"/>
    <n v="647363.34"/>
    <d v="2026-05-16T00:00:00"/>
    <d v="2026-04-17T00:00:00"/>
    <d v="2026-06-05T00:00:00"/>
    <n v="10016"/>
    <d v="2026-04-06T00:00:00"/>
    <m/>
    <m/>
    <s v="TowerGBT-3 Leg Tubular VT30M 200 KMPH"/>
    <n v="582627.00599999994"/>
    <n v="7.6999999999999999E-2"/>
    <n v="49"/>
    <n v="6023"/>
    <n v="576604.00599999994"/>
    <m/>
    <m/>
    <m/>
    <m/>
    <m/>
    <m/>
    <n v="274352636.66000003"/>
  </r>
  <r>
    <n v="2"/>
    <n v="13"/>
    <s v="FABIND9INRDZI"/>
    <x v="1"/>
    <s v="I"/>
    <s v="FI2627000044"/>
    <d v="2026-04-06T00:00:00"/>
    <s v="INR"/>
    <n v="647363.34"/>
    <d v="2026-05-16T00:00:00"/>
    <d v="2026-04-17T00:00:00"/>
    <d v="2026-06-05T00:00:00"/>
    <n v="10017"/>
    <d v="2026-04-06T00:00:00"/>
    <m/>
    <m/>
    <s v="TowerGBT-3 Leg Tubular VT30M 200 KMPH"/>
    <n v="582627.00599999994"/>
    <n v="7.6999999999999999E-2"/>
    <n v="49"/>
    <n v="6023"/>
    <n v="576604.00599999994"/>
    <m/>
    <m/>
    <m/>
    <m/>
    <m/>
    <m/>
    <n v="274352636.66000003"/>
  </r>
  <r>
    <n v="2"/>
    <n v="14"/>
    <s v="FABIND9INRDZI"/>
    <x v="1"/>
    <s v="I"/>
    <s v="FI2627000045"/>
    <d v="2026-04-06T00:00:00"/>
    <s v="INR"/>
    <n v="647363.34"/>
    <d v="2026-05-16T00:00:00"/>
    <d v="2026-04-17T00:00:00"/>
    <d v="2026-06-05T00:00:00"/>
    <n v="10018"/>
    <d v="2026-04-06T00:00:00"/>
    <m/>
    <m/>
    <s v="TowerGBT-3 Leg Tubular VT30M 200 KMPH"/>
    <n v="582627.00599999994"/>
    <n v="7.6999999999999999E-2"/>
    <n v="49"/>
    <n v="6023"/>
    <n v="576604.00599999994"/>
    <m/>
    <m/>
    <m/>
    <m/>
    <m/>
    <m/>
    <n v="274352636.66000003"/>
  </r>
  <r>
    <n v="2"/>
    <n v="15"/>
    <s v="FABIND9INRDZI"/>
    <x v="1"/>
    <s v="I"/>
    <s v="FI2627000047"/>
    <d v="2026-04-06T00:00:00"/>
    <s v="INR"/>
    <n v="647363.34"/>
    <d v="2026-05-16T00:00:00"/>
    <d v="2026-04-17T00:00:00"/>
    <d v="2026-06-05T00:00:00"/>
    <n v="10019"/>
    <d v="2026-04-06T00:00:00"/>
    <m/>
    <m/>
    <s v="TowerGBT-3 Leg Tubular VT30M 200 KMPH"/>
    <n v="582627.00599999994"/>
    <n v="7.6999999999999999E-2"/>
    <n v="49"/>
    <n v="6023"/>
    <n v="576604.00599999994"/>
    <m/>
    <m/>
    <m/>
    <m/>
    <m/>
    <m/>
    <n v="274352636.66000003"/>
  </r>
  <r>
    <n v="3"/>
    <n v="16"/>
    <s v="FABIND9INRDZI"/>
    <x v="1"/>
    <s v="I"/>
    <s v="FI2627000052"/>
    <d v="2026-04-08T00:00:00"/>
    <s v="INR"/>
    <n v="647363.34"/>
    <d v="2026-05-18T00:00:00"/>
    <d v="2026-04-17T00:00:00"/>
    <d v="2026-06-07T00:00:00"/>
    <n v="10020"/>
    <d v="2026-04-08T00:00:00"/>
    <m/>
    <m/>
    <s v="TowerGBT-3 Leg Tubular VT30M 200 KMPH"/>
    <n v="582627.00599999994"/>
    <n v="7.6999999999999999E-2"/>
    <n v="51"/>
    <n v="6268"/>
    <n v="576359.00599999994"/>
    <m/>
    <m/>
    <m/>
    <m/>
    <m/>
    <m/>
    <n v="274352636.66000003"/>
  </r>
  <r>
    <n v="3"/>
    <n v="17"/>
    <s v="FABIND9INRDZI"/>
    <x v="1"/>
    <s v="I"/>
    <s v="FI2627000063"/>
    <d v="2026-04-10T00:00:00"/>
    <s v="INR"/>
    <n v="774998.04"/>
    <d v="2026-05-20T00:00:00"/>
    <d v="2026-04-17T00:00:00"/>
    <d v="2026-06-09T00:00:00"/>
    <n v="778"/>
    <d v="2026-04-10T00:00:00"/>
    <m/>
    <m/>
    <s v="BIL - Tower GBT 40M 200 KMPH"/>
    <n v="697498.23600000003"/>
    <n v="7.6999999999999999E-2"/>
    <n v="53"/>
    <n v="7799"/>
    <n v="689699.23600000003"/>
    <m/>
    <m/>
    <m/>
    <m/>
    <m/>
    <m/>
    <n v="274225001.95999998"/>
  </r>
  <r>
    <n v="3"/>
    <n v="18"/>
    <s v="FABIND9INRDZI"/>
    <x v="1"/>
    <s v="I"/>
    <s v="FI2627000064"/>
    <d v="2026-04-10T00:00:00"/>
    <s v="INR"/>
    <n v="774998.04"/>
    <d v="2026-05-20T00:00:00"/>
    <d v="2026-04-17T00:00:00"/>
    <d v="2026-06-09T00:00:00"/>
    <n v="10024"/>
    <d v="2026-04-10T00:00:00"/>
    <m/>
    <m/>
    <s v="BIL - Tower GBT 40M 200 KMPH"/>
    <n v="697498.23600000003"/>
    <n v="7.6999999999999999E-2"/>
    <n v="53"/>
    <n v="7799"/>
    <n v="689699.23600000003"/>
    <m/>
    <m/>
    <m/>
    <m/>
    <m/>
    <m/>
    <n v="274225001.95999998"/>
  </r>
  <r>
    <n v="3"/>
    <n v="19"/>
    <s v="FABIND9INRDZI"/>
    <x v="1"/>
    <s v="I"/>
    <s v="FI2627000065"/>
    <d v="2026-04-10T00:00:00"/>
    <s v="INR"/>
    <n v="774998.04"/>
    <d v="2026-05-20T00:00:00"/>
    <d v="2026-04-17T00:00:00"/>
    <d v="2026-06-09T00:00:00"/>
    <n v="779"/>
    <d v="2026-04-10T00:00:00"/>
    <m/>
    <m/>
    <s v="BIL - Tower GBT 40M 200 KMPH"/>
    <n v="697498.23600000003"/>
    <n v="7.6999999999999999E-2"/>
    <n v="53"/>
    <n v="7799"/>
    <n v="689699.23600000003"/>
    <m/>
    <m/>
    <m/>
    <m/>
    <m/>
    <m/>
    <n v="274225001.95999998"/>
  </r>
  <r>
    <n v="3"/>
    <n v="20"/>
    <s v="FABIND9INRDZI"/>
    <x v="1"/>
    <s v="I"/>
    <s v="FI2627000066"/>
    <d v="2026-04-10T00:00:00"/>
    <s v="INR"/>
    <n v="774998.04"/>
    <d v="2026-05-20T00:00:00"/>
    <d v="2026-04-17T00:00:00"/>
    <d v="2026-06-09T00:00:00"/>
    <n v="10025"/>
    <d v="2026-04-10T00:00:00"/>
    <m/>
    <m/>
    <s v="BIL - Tower GBT 40M 200 KMPH"/>
    <n v="697498.23600000003"/>
    <n v="7.6999999999999999E-2"/>
    <n v="53"/>
    <n v="7799"/>
    <n v="689699.23600000003"/>
    <m/>
    <m/>
    <m/>
    <m/>
    <m/>
    <m/>
    <n v="274225001.95999998"/>
  </r>
  <r>
    <n v="3"/>
    <n v="21"/>
    <s v="FABIND9INRDZI"/>
    <x v="1"/>
    <s v="I"/>
    <s v="FI2627000067"/>
    <d v="2026-04-10T00:00:00"/>
    <s v="INR"/>
    <n v="774998.04"/>
    <d v="2026-05-20T00:00:00"/>
    <d v="2026-04-17T00:00:00"/>
    <d v="2026-06-09T00:00:00"/>
    <n v="10026"/>
    <d v="2026-04-10T00:00:00"/>
    <m/>
    <m/>
    <s v="BIL - Tower GBT 40M 200 KMPH"/>
    <n v="697498.23600000003"/>
    <n v="7.6999999999999999E-2"/>
    <n v="53"/>
    <n v="7799"/>
    <n v="689699.23600000003"/>
    <m/>
    <m/>
    <m/>
    <m/>
    <m/>
    <m/>
    <n v="274225001.95999998"/>
  </r>
  <r>
    <n v="3"/>
    <n v="22"/>
    <s v="FABIND9INRDZI"/>
    <x v="1"/>
    <s v="I"/>
    <s v="FI2627000069"/>
    <d v="2026-04-12T00:00:00"/>
    <s v="INR"/>
    <n v="647363.34"/>
    <d v="2026-05-22T00:00:00"/>
    <d v="2026-04-17T00:00:00"/>
    <d v="2026-06-11T00:00:00"/>
    <n v="780"/>
    <d v="2026-04-12T00:00:00"/>
    <m/>
    <m/>
    <s v="TowerGBT-3 Leg Tubular VT30M 200 KMPH"/>
    <n v="582627.00599999994"/>
    <n v="7.6999999999999999E-2"/>
    <n v="55"/>
    <n v="6760"/>
    <n v="575867.00599999994"/>
    <m/>
    <m/>
    <m/>
    <m/>
    <m/>
    <m/>
    <n v="274352636.66000003"/>
  </r>
  <r>
    <n v="3"/>
    <n v="23"/>
    <s v="FABIND9INRDZI"/>
    <x v="1"/>
    <s v="I"/>
    <s v="FI2627000070"/>
    <d v="2026-04-12T00:00:00"/>
    <s v="INR"/>
    <n v="147186.12"/>
    <d v="2026-05-22T00:00:00"/>
    <d v="2026-04-17T00:00:00"/>
    <d v="2026-06-11T00:00:00"/>
    <n v="781"/>
    <d v="2026-04-12T00:00:00"/>
    <m/>
    <m/>
    <s v="Cast In part GBT-3L TBLR VT30M 200KMPH"/>
    <n v="132467.508"/>
    <n v="7.6999999999999999E-2"/>
    <n v="55"/>
    <n v="1537"/>
    <n v="130930.508"/>
    <m/>
    <m/>
    <m/>
    <m/>
    <m/>
    <m/>
    <n v="274852813.88"/>
  </r>
  <r>
    <n v="3"/>
    <n v="24"/>
    <s v="FABIND9INRDZI"/>
    <x v="1"/>
    <s v="I"/>
    <s v="FI2627000071"/>
    <d v="2026-04-12T00:00:00"/>
    <s v="INR"/>
    <n v="774998.04"/>
    <d v="2026-05-22T00:00:00"/>
    <d v="2026-04-17T00:00:00"/>
    <d v="2026-06-11T00:00:00"/>
    <n v="10030"/>
    <d v="2026-04-12T00:00:00"/>
    <m/>
    <m/>
    <s v="BIL - Tower GBT 40M 200 KMPH"/>
    <n v="697498.23600000003"/>
    <n v="7.6999999999999999E-2"/>
    <n v="55"/>
    <n v="8093"/>
    <n v="689405.23600000003"/>
    <m/>
    <m/>
    <m/>
    <m/>
    <m/>
    <m/>
    <n v="274225001.95999998"/>
  </r>
  <r>
    <n v="3"/>
    <n v="25"/>
    <s v="FABIND9INRDZI"/>
    <x v="1"/>
    <s v="I"/>
    <s v="FI2627000072"/>
    <d v="2026-04-12T00:00:00"/>
    <s v="INR"/>
    <n v="774998.04"/>
    <d v="2026-05-22T00:00:00"/>
    <d v="2026-04-17T00:00:00"/>
    <d v="2026-06-11T00:00:00"/>
    <n v="10031"/>
    <d v="2026-04-12T00:00:00"/>
    <m/>
    <m/>
    <s v="BIL - Tower GBT 40M 200 KMPH"/>
    <n v="697498.23600000003"/>
    <n v="7.6999999999999999E-2"/>
    <n v="55"/>
    <n v="8093"/>
    <n v="689405.23600000003"/>
    <m/>
    <m/>
    <m/>
    <m/>
    <m/>
    <m/>
    <n v="274225001.95999998"/>
  </r>
  <r>
    <n v="3"/>
    <n v="26"/>
    <s v="FABIND9INRDZI"/>
    <x v="1"/>
    <s v="I"/>
    <s v="FI2627000077"/>
    <d v="2026-04-13T00:00:00"/>
    <s v="INR"/>
    <n v="774998.04"/>
    <d v="2026-05-23T00:00:00"/>
    <d v="2026-04-17T00:00:00"/>
    <d v="2026-06-12T00:00:00"/>
    <n v="78501"/>
    <d v="2026-04-13T00:00:00"/>
    <m/>
    <m/>
    <s v="BIL - Tower GBT 40M 200 KMPH"/>
    <n v="697498.23600000003"/>
    <n v="7.6999999999999999E-2"/>
    <n v="56"/>
    <n v="8240"/>
    <n v="689258.23600000003"/>
    <m/>
    <m/>
    <m/>
    <m/>
    <m/>
    <m/>
    <n v="274225001.95999998"/>
  </r>
  <r>
    <n v="3"/>
    <n v="27"/>
    <s v="FABIND9INRDZI"/>
    <x v="1"/>
    <s v="I"/>
    <s v="FI2627000078"/>
    <d v="2026-04-13T00:00:00"/>
    <s v="INR"/>
    <n v="774998.04"/>
    <d v="2026-05-23T00:00:00"/>
    <d v="2026-04-17T00:00:00"/>
    <d v="2026-06-12T00:00:00"/>
    <n v="78502"/>
    <d v="2026-04-13T00:00:00"/>
    <m/>
    <m/>
    <s v="BIL - Tower GBT 40M 200 KMPH"/>
    <n v="697498.23600000003"/>
    <n v="7.6999999999999999E-2"/>
    <n v="56"/>
    <n v="8240"/>
    <n v="689258.23600000003"/>
    <m/>
    <m/>
    <m/>
    <m/>
    <m/>
    <m/>
    <n v="274225001.95999998"/>
  </r>
  <r>
    <n v="3"/>
    <n v="28"/>
    <s v="FABIND9INRDZI"/>
    <x v="1"/>
    <s v="I"/>
    <s v="FI2627000079"/>
    <d v="2026-04-13T00:00:00"/>
    <s v="INR"/>
    <n v="774998.04"/>
    <d v="2026-05-23T00:00:00"/>
    <d v="2026-04-17T00:00:00"/>
    <d v="2026-06-12T00:00:00"/>
    <n v="78503"/>
    <d v="2026-04-13T00:00:00"/>
    <m/>
    <m/>
    <s v="BIL - Tower GBT 40M 200 KMPH"/>
    <n v="697498.23600000003"/>
    <n v="7.6999999999999999E-2"/>
    <n v="56"/>
    <n v="8240"/>
    <n v="689258.23600000003"/>
    <m/>
    <m/>
    <m/>
    <m/>
    <m/>
    <m/>
    <n v="274225001.95999998"/>
  </r>
  <r>
    <n v="4"/>
    <n v="29"/>
    <s v="FABIND9INRDZI"/>
    <x v="1"/>
    <s v="I"/>
    <s v="FI2627000084"/>
    <d v="2026-04-15T00:00:00"/>
    <s v="INR"/>
    <n v="661895.04"/>
    <d v="2026-05-25T00:00:00"/>
    <d v="2026-04-20T00:00:00"/>
    <d v="2026-06-14T00:00:00"/>
    <n v="78510"/>
    <d v="2026-04-15T00:00:00"/>
    <m/>
    <m/>
    <s v="TowerGBT-3 Leg Tubular VT30M 200 KMPH"/>
    <n v="595705.53600000008"/>
    <n v="7.6999999999999999E-2"/>
    <n v="55"/>
    <n v="6912"/>
    <n v="588793.53600000008"/>
    <m/>
    <m/>
    <m/>
    <m/>
    <m/>
    <m/>
    <n v="274338104.95999998"/>
  </r>
  <r>
    <n v="4"/>
    <n v="30"/>
    <s v="FABIND9INRDZI"/>
    <x v="1"/>
    <s v="I"/>
    <s v="FI2627000085"/>
    <d v="2026-04-15T00:00:00"/>
    <s v="INR"/>
    <n v="661895.04"/>
    <d v="2026-05-25T00:00:00"/>
    <d v="2026-04-20T00:00:00"/>
    <d v="2026-06-14T00:00:00"/>
    <n v="78511"/>
    <d v="2026-04-15T00:00:00"/>
    <m/>
    <m/>
    <s v="TowerGBT-3 Leg Tubular VT30M 200 KMPH"/>
    <n v="595705.53600000008"/>
    <n v="7.6999999999999999E-2"/>
    <n v="55"/>
    <n v="6912"/>
    <n v="588793.53600000008"/>
    <m/>
    <m/>
    <m/>
    <m/>
    <m/>
    <m/>
    <n v="274338104.95999998"/>
  </r>
  <r>
    <n v="4"/>
    <n v="31"/>
    <s v="FABIND9INRDZI"/>
    <x v="1"/>
    <s v="I"/>
    <s v="FI2627000086"/>
    <d v="2026-04-15T00:00:00"/>
    <s v="INR"/>
    <n v="661895.04"/>
    <d v="2026-05-25T00:00:00"/>
    <d v="2026-04-20T00:00:00"/>
    <d v="2026-06-14T00:00:00"/>
    <n v="21123"/>
    <d v="2026-04-15T00:00:00"/>
    <m/>
    <m/>
    <s v="TowerGBT-3 Leg Tubular VT30M 200 KMPH"/>
    <n v="595705.53600000008"/>
    <n v="7.6999999999999999E-2"/>
    <n v="55"/>
    <n v="6912"/>
    <n v="588793.53600000008"/>
    <m/>
    <m/>
    <m/>
    <m/>
    <m/>
    <m/>
    <n v="274338104.95999998"/>
  </r>
  <r>
    <n v="4"/>
    <n v="32"/>
    <s v="FABIND9INRDZI"/>
    <x v="1"/>
    <s v="I"/>
    <s v="FI2627000087"/>
    <d v="2026-04-15T00:00:00"/>
    <s v="INR"/>
    <n v="661895.04"/>
    <d v="2026-05-25T00:00:00"/>
    <d v="2026-04-20T00:00:00"/>
    <d v="2026-06-14T00:00:00"/>
    <n v="78512"/>
    <d v="2026-04-15T00:00:00"/>
    <m/>
    <m/>
    <s v="TowerGBT-3 Leg Tubular VT30M 200 KMPH"/>
    <n v="595705.53600000008"/>
    <n v="7.6999999999999999E-2"/>
    <n v="55"/>
    <n v="6912"/>
    <n v="588793.53600000008"/>
    <m/>
    <m/>
    <m/>
    <m/>
    <m/>
    <m/>
    <n v="274338104.95999998"/>
  </r>
  <r>
    <n v="4"/>
    <n v="33"/>
    <s v="FABIND9INRDZI"/>
    <x v="1"/>
    <s v="I"/>
    <s v="FI2627000109"/>
    <d v="2026-04-19T00:00:00"/>
    <s v="INR"/>
    <n v="506008.78"/>
    <d v="2026-05-29T00:00:00"/>
    <d v="2026-04-20T00:00:00"/>
    <d v="2026-06-18T00:00:00"/>
    <n v="10038"/>
    <d v="2026-04-19T00:00:00"/>
    <m/>
    <m/>
    <s v="Tower- GBT- Elite 403 STR - 3L TBLR 40M"/>
    <n v="455407.90200000006"/>
    <n v="7.6999999999999999E-2"/>
    <n v="59"/>
    <n v="5668"/>
    <n v="449739.90200000006"/>
    <m/>
    <m/>
    <m/>
    <m/>
    <m/>
    <m/>
    <n v="274493991.22000003"/>
  </r>
  <r>
    <n v="4"/>
    <n v="34"/>
    <s v="FABIND9INRDZI"/>
    <x v="1"/>
    <s v="I"/>
    <s v="FI2627000110"/>
    <d v="2026-04-19T00:00:00"/>
    <s v="INR"/>
    <n v="506008.78"/>
    <d v="2026-05-29T00:00:00"/>
    <d v="2026-04-20T00:00:00"/>
    <d v="2026-06-18T00:00:00"/>
    <n v="10039"/>
    <d v="2026-04-19T00:00:00"/>
    <m/>
    <m/>
    <s v="Tower- GBT- Elite 403 STR - 3L TBLR 40M"/>
    <n v="455407.90200000006"/>
    <n v="7.6999999999999999E-2"/>
    <n v="59"/>
    <n v="5668"/>
    <n v="449739.90200000006"/>
    <m/>
    <m/>
    <m/>
    <m/>
    <m/>
    <m/>
    <n v="274493991.22000003"/>
  </r>
  <r>
    <n v="4"/>
    <n v="35"/>
    <s v="FABIND9INRDZI"/>
    <x v="1"/>
    <s v="I"/>
    <s v="FI2627000111"/>
    <d v="2026-04-19T00:00:00"/>
    <s v="INR"/>
    <n v="506008.78"/>
    <d v="2026-05-29T00:00:00"/>
    <d v="2026-04-20T00:00:00"/>
    <d v="2026-06-18T00:00:00"/>
    <n v="10040"/>
    <d v="2026-04-19T00:00:00"/>
    <m/>
    <m/>
    <s v="Tower- GBT- Elite 403 STR - 3L TBLR 40M"/>
    <n v="455407.90200000006"/>
    <n v="7.6999999999999999E-2"/>
    <n v="59"/>
    <n v="5668"/>
    <n v="449739.90200000006"/>
    <m/>
    <m/>
    <m/>
    <m/>
    <m/>
    <m/>
    <n v="274493991.22000003"/>
  </r>
  <r>
    <n v="4"/>
    <n v="36"/>
    <s v="FABIND9INRDZI"/>
    <x v="1"/>
    <s v="I"/>
    <s v="FI2627000112"/>
    <d v="2026-04-19T00:00:00"/>
    <s v="INR"/>
    <n v="506008.78"/>
    <d v="2026-05-29T00:00:00"/>
    <d v="2026-04-20T00:00:00"/>
    <d v="2026-06-18T00:00:00"/>
    <n v="10041"/>
    <d v="2026-04-19T00:00:00"/>
    <m/>
    <m/>
    <s v="Tower- GBT- Elite 403 STR - 3L TBLR 40M"/>
    <n v="455407.90200000006"/>
    <n v="7.6999999999999999E-2"/>
    <n v="59"/>
    <n v="5668"/>
    <n v="449739.90200000006"/>
    <m/>
    <m/>
    <m/>
    <m/>
    <m/>
    <m/>
    <n v="274493991.22000003"/>
  </r>
  <r>
    <n v="5"/>
    <n v="37"/>
    <s v="FABIND9INRDZI"/>
    <x v="1"/>
    <s v="I"/>
    <s v="FI2627000118"/>
    <d v="2026-04-20T00:00:00"/>
    <s v="INR"/>
    <n v="483325.64"/>
    <d v="2026-05-30T00:00:00"/>
    <d v="2026-04-23T00:00:00"/>
    <d v="2026-06-19T00:00:00"/>
    <n v="10043"/>
    <d v="2026-04-20T00:00:00"/>
    <m/>
    <m/>
    <s v="Tower- GBT- Elite 403 STR - 3L TBLR 40M"/>
    <n v="434993.076"/>
    <n v="7.6999999999999999E-2"/>
    <n v="57"/>
    <n v="5231"/>
    <n v="429762.076"/>
    <m/>
    <m/>
    <m/>
    <m/>
    <m/>
    <m/>
    <n v="274516674.36000001"/>
  </r>
  <r>
    <n v="5"/>
    <n v="38"/>
    <s v="FABIND9INRDZI"/>
    <x v="1"/>
    <s v="I"/>
    <s v="FI2627000119"/>
    <d v="2026-04-20T00:00:00"/>
    <s v="INR"/>
    <n v="483325.64"/>
    <d v="2026-05-30T00:00:00"/>
    <d v="2026-04-23T00:00:00"/>
    <d v="2026-06-19T00:00:00"/>
    <n v="10044"/>
    <d v="2026-04-20T00:00:00"/>
    <m/>
    <m/>
    <s v="Tower- GBT- Elite 403 STR - 3L TBLR 40M"/>
    <n v="434993.076"/>
    <n v="7.6999999999999999E-2"/>
    <n v="57"/>
    <n v="5231"/>
    <n v="429762.076"/>
    <m/>
    <m/>
    <m/>
    <m/>
    <m/>
    <m/>
    <n v="274516674.36000001"/>
  </r>
  <r>
    <n v="5"/>
    <n v="39"/>
    <s v="FABIND9INRDZI"/>
    <x v="1"/>
    <s v="I"/>
    <s v="FI2627000120"/>
    <d v="2026-04-20T00:00:00"/>
    <s v="INR"/>
    <n v="483325.64"/>
    <d v="2026-05-30T00:00:00"/>
    <d v="2026-04-23T00:00:00"/>
    <d v="2026-06-19T00:00:00"/>
    <n v="10045"/>
    <d v="2026-04-20T00:00:00"/>
    <m/>
    <m/>
    <s v="Tower- GBT- Elite 403 STR - 3L TBLR 40M"/>
    <n v="434993.076"/>
    <n v="7.6999999999999999E-2"/>
    <n v="57"/>
    <n v="5231"/>
    <n v="429762.076"/>
    <m/>
    <m/>
    <m/>
    <m/>
    <m/>
    <m/>
    <n v="274516674.36000001"/>
  </r>
  <r>
    <n v="5"/>
    <n v="40"/>
    <s v="FABIND9INRDZI"/>
    <x v="1"/>
    <s v="I"/>
    <s v="FI2627000121"/>
    <d v="2026-04-20T00:00:00"/>
    <s v="INR"/>
    <n v="483325.64"/>
    <d v="2026-05-30T00:00:00"/>
    <d v="2026-04-23T00:00:00"/>
    <d v="2026-06-19T00:00:00"/>
    <n v="10046"/>
    <d v="2026-04-20T00:00:00"/>
    <m/>
    <m/>
    <s v="Tower- GBT- Elite 403 STR - 3L TBLR 40M"/>
    <n v="434993.076"/>
    <n v="7.6999999999999999E-2"/>
    <n v="57"/>
    <n v="5231"/>
    <n v="429762.076"/>
    <m/>
    <m/>
    <m/>
    <m/>
    <m/>
    <m/>
    <n v="274516674.36000001"/>
  </r>
  <r>
    <n v="5"/>
    <n v="41"/>
    <s v="FABIND9INRDZI"/>
    <x v="1"/>
    <s v="I"/>
    <s v="FI2627000122"/>
    <d v="2026-04-20T00:00:00"/>
    <s v="INR"/>
    <n v="483325.64"/>
    <d v="2026-05-30T00:00:00"/>
    <d v="2026-04-23T00:00:00"/>
    <d v="2026-06-19T00:00:00"/>
    <n v="801"/>
    <d v="2026-04-20T00:00:00"/>
    <m/>
    <m/>
    <s v="Tower- GBT- Elite 403 STR - 3L TBLR 40M"/>
    <n v="434993.076"/>
    <n v="7.6999999999999999E-2"/>
    <n v="57"/>
    <n v="5231"/>
    <n v="429762.076"/>
    <m/>
    <m/>
    <m/>
    <m/>
    <m/>
    <m/>
    <n v="274516674.36000001"/>
  </r>
  <r>
    <n v="5"/>
    <n v="42"/>
    <s v="FABIND9INRDZI"/>
    <x v="1"/>
    <s v="I"/>
    <s v="FI2627000127"/>
    <d v="2026-04-20T00:00:00"/>
    <s v="INR"/>
    <n v="1006923.5"/>
    <d v="2026-05-30T00:00:00"/>
    <d v="2026-04-23T00:00:00"/>
    <d v="2026-06-19T00:00:00"/>
    <n v="78158"/>
    <d v="2026-04-20T00:00:00"/>
    <m/>
    <m/>
    <s v="CIP - GBT - Elite 403 STR - 3L 170KMPH"/>
    <n v="906231.15"/>
    <n v="7.6999999999999999E-2"/>
    <n v="57"/>
    <n v="10897"/>
    <n v="895334.15"/>
    <m/>
    <m/>
    <m/>
    <m/>
    <m/>
    <m/>
    <n v="273993076.5"/>
  </r>
  <r>
    <n v="5"/>
    <n v="43"/>
    <s v="FABIND9INRDZI"/>
    <x v="1"/>
    <s v="I"/>
    <s v="FI2627000128"/>
    <d v="2026-04-20T00:00:00"/>
    <s v="INR"/>
    <n v="671243"/>
    <d v="2026-05-30T00:00:00"/>
    <d v="2026-04-23T00:00:00"/>
    <d v="2026-06-19T00:00:00"/>
    <n v="10047"/>
    <d v="2026-04-20T00:00:00"/>
    <m/>
    <m/>
    <s v="12A - Tower GBT-3 Leg TBLR 40M 170 KMPH"/>
    <n v="604118.70000000007"/>
    <n v="7.6999999999999999E-2"/>
    <n v="57"/>
    <n v="7264"/>
    <n v="596854.70000000007"/>
    <m/>
    <m/>
    <m/>
    <m/>
    <m/>
    <m/>
    <n v="274328757"/>
  </r>
  <r>
    <n v="5"/>
    <n v="44"/>
    <s v="FABIND9INRDZI"/>
    <x v="1"/>
    <s v="I"/>
    <s v="FI2627000134"/>
    <d v="2026-04-21T00:00:00"/>
    <s v="INR"/>
    <n v="481668.92"/>
    <d v="2026-05-31T00:00:00"/>
    <d v="2026-04-23T00:00:00"/>
    <d v="2026-06-20T00:00:00"/>
    <n v="10049"/>
    <d v="2026-04-21T00:00:00"/>
    <m/>
    <m/>
    <s v="TOWER GBT 3Legged VM 30M 170KMPH"/>
    <n v="433502.02799999999"/>
    <n v="7.6999999999999999E-2"/>
    <n v="58"/>
    <n v="5304"/>
    <n v="428198.02799999999"/>
    <m/>
    <m/>
    <m/>
    <m/>
    <m/>
    <m/>
    <n v="274518331.07999998"/>
  </r>
  <r>
    <n v="5"/>
    <n v="45"/>
    <s v="FABIND9INRDZI"/>
    <x v="1"/>
    <s v="I"/>
    <s v="FI2627000135"/>
    <d v="2026-04-21T00:00:00"/>
    <s v="INR"/>
    <n v="506008.78"/>
    <d v="2026-05-31T00:00:00"/>
    <d v="2026-04-23T00:00:00"/>
    <d v="2026-06-20T00:00:00"/>
    <n v="10050"/>
    <d v="2026-04-21T00:00:00"/>
    <m/>
    <m/>
    <s v="Tower- GBT- Elite 403 STR - 3L TBLR 40M"/>
    <n v="455407.90200000006"/>
    <n v="7.6999999999999999E-2"/>
    <n v="58"/>
    <n v="5572"/>
    <n v="449835.90200000006"/>
    <m/>
    <m/>
    <m/>
    <m/>
    <m/>
    <m/>
    <n v="274493991.22000003"/>
  </r>
  <r>
    <n v="5"/>
    <n v="46"/>
    <s v="FABIND9INRDZI"/>
    <x v="1"/>
    <s v="I"/>
    <s v="FI2627000136"/>
    <d v="2026-04-21T00:00:00"/>
    <s v="INR"/>
    <n v="506008.78"/>
    <d v="2026-05-31T00:00:00"/>
    <d v="2026-04-23T00:00:00"/>
    <d v="2026-06-20T00:00:00"/>
    <n v="78519"/>
    <d v="2026-04-21T00:00:00"/>
    <m/>
    <m/>
    <s v="Tower- GBT- Elite 403 STR - 3L TBLR 40M"/>
    <n v="455407.90200000006"/>
    <n v="7.6999999999999999E-2"/>
    <n v="58"/>
    <n v="5572"/>
    <n v="449835.90200000006"/>
    <m/>
    <m/>
    <m/>
    <m/>
    <m/>
    <m/>
    <n v="274493991.22000003"/>
  </r>
  <r>
    <n v="5"/>
    <n v="47"/>
    <s v="FABIND9INRDZI"/>
    <x v="1"/>
    <s v="I"/>
    <s v="FI2627000137"/>
    <d v="2026-04-21T00:00:00"/>
    <s v="INR"/>
    <n v="506008.78"/>
    <d v="2026-05-31T00:00:00"/>
    <d v="2026-04-23T00:00:00"/>
    <d v="2026-06-20T00:00:00"/>
    <n v="78520"/>
    <d v="2026-04-21T00:00:00"/>
    <m/>
    <m/>
    <s v="Tower- GBT- Elite 403 STR - 3L TBLR 40M"/>
    <n v="455407.90200000006"/>
    <n v="7.6999999999999999E-2"/>
    <n v="58"/>
    <n v="5572"/>
    <n v="449835.90200000006"/>
    <m/>
    <m/>
    <m/>
    <m/>
    <m/>
    <m/>
    <n v="274493991.22000003"/>
  </r>
  <r>
    <n v="5"/>
    <n v="48"/>
    <s v="FABIND9INRDZI"/>
    <x v="1"/>
    <s v="I"/>
    <s v="FI2627000139"/>
    <d v="2026-04-21T00:00:00"/>
    <s v="INR"/>
    <n v="506008.78"/>
    <d v="2026-05-31T00:00:00"/>
    <d v="2026-04-23T00:00:00"/>
    <d v="2026-06-20T00:00:00"/>
    <n v="78521"/>
    <d v="2026-04-21T00:00:00"/>
    <m/>
    <m/>
    <s v="Tower- GBT- Elite 403 STR - 3L TBLR 40M"/>
    <n v="455407.90200000006"/>
    <n v="7.6999999999999999E-2"/>
    <n v="58"/>
    <n v="5572"/>
    <n v="449835.90200000006"/>
    <m/>
    <m/>
    <m/>
    <m/>
    <m/>
    <m/>
    <n v="274493991.22000003"/>
  </r>
  <r>
    <n v="5"/>
    <n v="49"/>
    <s v="FABIND9INRDZI"/>
    <x v="1"/>
    <s v="I"/>
    <s v="FI2627000140"/>
    <d v="2026-04-21T00:00:00"/>
    <s v="INR"/>
    <n v="506008.78"/>
    <d v="2026-05-31T00:00:00"/>
    <d v="2026-04-23T00:00:00"/>
    <d v="2026-06-20T00:00:00"/>
    <n v="10051"/>
    <d v="2026-04-21T00:00:00"/>
    <m/>
    <m/>
    <s v="Tower- GBT- Elite 403 STR - 3L TBLR 40M"/>
    <n v="455407.90200000006"/>
    <n v="7.6999999999999999E-2"/>
    <n v="58"/>
    <n v="5572"/>
    <n v="449835.90200000006"/>
    <m/>
    <m/>
    <m/>
    <m/>
    <m/>
    <m/>
    <n v="274493991.22000003"/>
  </r>
  <r>
    <n v="5"/>
    <n v="50"/>
    <s v="FABIND9INRDZI"/>
    <x v="1"/>
    <s v="I"/>
    <s v="FI2627000148"/>
    <d v="2026-04-21T00:00:00"/>
    <s v="INR"/>
    <n v="506008.78"/>
    <d v="2026-05-31T00:00:00"/>
    <d v="2026-04-23T00:00:00"/>
    <d v="2026-06-20T00:00:00"/>
    <n v="78522"/>
    <d v="2026-04-21T00:00:00"/>
    <m/>
    <m/>
    <s v="Tower- GBT- Elite 403 STR - 3L TBLR 40M"/>
    <n v="455407.90200000006"/>
    <n v="7.6999999999999999E-2"/>
    <n v="58"/>
    <n v="5572"/>
    <n v="449835.90200000006"/>
    <m/>
    <m/>
    <m/>
    <m/>
    <m/>
    <m/>
    <n v="274493991.22000003"/>
  </r>
  <r>
    <n v="6"/>
    <n v="51"/>
    <s v="FABIND9INRDZI"/>
    <x v="1"/>
    <s v="I"/>
    <s v="FI2627000151"/>
    <d v="2026-04-22T00:00:00"/>
    <s v="INR"/>
    <n v="873873.78"/>
    <d v="2026-06-01T00:00:00"/>
    <d v="2026-04-23T00:00:00"/>
    <d v="2026-06-21T00:00:00"/>
    <n v="25333"/>
    <d v="2026-04-22T00:00:00"/>
    <m/>
    <m/>
    <s v="SLIP JOINT MONOPOLE-30M (INDUS)"/>
    <n v="786486.402"/>
    <n v="7.6999999999999999E-2"/>
    <n v="59"/>
    <n v="9789"/>
    <n v="776697.402"/>
    <m/>
    <m/>
    <m/>
    <m/>
    <m/>
    <m/>
    <n v="274126126.22000003"/>
  </r>
  <r>
    <n v="6"/>
    <n v="52"/>
    <s v="FABIND9INRDZI"/>
    <x v="1"/>
    <s v="I"/>
    <s v="FI2627000152"/>
    <d v="2026-04-22T00:00:00"/>
    <s v="INR"/>
    <n v="483325.64"/>
    <d v="2026-06-01T00:00:00"/>
    <d v="2026-04-23T00:00:00"/>
    <d v="2026-06-21T00:00:00"/>
    <n v="10054"/>
    <d v="2026-04-22T00:00:00"/>
    <m/>
    <m/>
    <s v="Tower- GBT- Elite 403 STR - 3L TBLR 40M"/>
    <n v="434993.076"/>
    <n v="7.6999999999999999E-2"/>
    <n v="59"/>
    <n v="5414"/>
    <n v="429579.076"/>
    <m/>
    <m/>
    <m/>
    <m/>
    <m/>
    <m/>
    <n v="274516674.36000001"/>
  </r>
  <r>
    <n v="6"/>
    <n v="53"/>
    <s v="FABIND9INRDZI"/>
    <x v="1"/>
    <s v="I"/>
    <s v="FI2627000153"/>
    <d v="2026-04-22T00:00:00"/>
    <s v="INR"/>
    <n v="483325.64"/>
    <d v="2026-06-01T00:00:00"/>
    <d v="2026-04-23T00:00:00"/>
    <d v="2026-06-21T00:00:00"/>
    <n v="10053"/>
    <d v="2026-04-22T00:00:00"/>
    <m/>
    <m/>
    <s v="Tower- GBT- Elite 403 STR - 3L TBLR 40M"/>
    <n v="434993.076"/>
    <n v="7.6999999999999999E-2"/>
    <n v="59"/>
    <n v="5414"/>
    <n v="429579.076"/>
    <m/>
    <m/>
    <m/>
    <m/>
    <m/>
    <m/>
    <n v="274516674.36000001"/>
  </r>
  <r>
    <n v="0"/>
    <n v="54"/>
    <s v="FABIND9INRDZI"/>
    <x v="1"/>
    <s v="I"/>
    <s v="FI2627000155"/>
    <d v="2026-04-22T00:00:00"/>
    <s v="INR"/>
    <n v="483325.64"/>
    <d v="2026-06-01T00:00:00"/>
    <d v="2026-04-23T00:00:00"/>
    <d v="2026-06-21T00:00:00"/>
    <m/>
    <d v="2026-04-22T00:00:00"/>
    <m/>
    <m/>
    <s v="Tower- GBT- Elite 403 STR - 3L TBLR 40M"/>
    <n v="434993.076"/>
    <m/>
    <n v="59"/>
    <n v="0"/>
    <n v="434993.076"/>
    <m/>
    <m/>
    <m/>
    <m/>
    <m/>
    <m/>
    <n v="274516674.36000001"/>
  </r>
  <r>
    <n v="6"/>
    <n v="55"/>
    <s v="FABIND9INRDZI"/>
    <x v="1"/>
    <s v="I"/>
    <s v="FI2627000156"/>
    <d v="2026-04-22T00:00:00"/>
    <s v="INR"/>
    <n v="483325.64"/>
    <d v="2026-06-01T00:00:00"/>
    <d v="2026-04-23T00:00:00"/>
    <d v="2026-06-21T00:00:00"/>
    <n v="21129"/>
    <d v="2026-04-22T00:00:00"/>
    <m/>
    <m/>
    <s v="Tower- GBT- Elite 403 STR - 3L TBLR 40M"/>
    <n v="434993.076"/>
    <n v="7.6999999999999999E-2"/>
    <n v="59"/>
    <n v="5414"/>
    <n v="429579.076"/>
    <m/>
    <m/>
    <m/>
    <m/>
    <m/>
    <m/>
    <n v="274516674.36000001"/>
  </r>
  <r>
    <n v="7"/>
    <n v="56"/>
    <s v="FABIND9INRDZI"/>
    <x v="1"/>
    <s v="I"/>
    <s v="FI2627000168"/>
    <d v="2026-04-23T00:00:00"/>
    <s v="INR"/>
    <n v="455946.1"/>
    <d v="2026-06-02T00:00:00"/>
    <d v="2026-04-23T00:00:00"/>
    <d v="2026-06-22T00:00:00"/>
    <s v="11527"/>
    <d v="2026-04-23T00:00:00"/>
    <m/>
    <m/>
    <s v="Tower- GBT- Elite-402 - 3L TBLR 40M 140"/>
    <n v="410351.49"/>
    <n v="7.6999999999999999E-2"/>
    <n v="60"/>
    <n v="5194"/>
    <n v="405157.49"/>
    <m/>
    <m/>
    <m/>
    <m/>
    <m/>
    <m/>
    <n v="274544053.89999998"/>
  </r>
  <r>
    <n v="7"/>
    <n v="57"/>
    <s v="FABIND9INRDZI"/>
    <x v="1"/>
    <s v="I"/>
    <s v="FI2627000169"/>
    <d v="2026-04-23T00:00:00"/>
    <s v="INR"/>
    <n v="483325.64"/>
    <d v="2026-06-02T00:00:00"/>
    <d v="2026-04-23T00:00:00"/>
    <d v="2026-06-22T00:00:00"/>
    <s v="11528"/>
    <d v="2026-04-23T00:00:00"/>
    <m/>
    <m/>
    <s v="Tower- GBT- Elite 403 STR - 3L TBLR 40M"/>
    <n v="434993.076"/>
    <n v="7.6999999999999999E-2"/>
    <n v="60"/>
    <n v="5506"/>
    <n v="429487.076"/>
    <m/>
    <m/>
    <m/>
    <m/>
    <m/>
    <m/>
    <n v="274516674.36000001"/>
  </r>
  <r>
    <n v="8"/>
    <n v="58"/>
    <s v="FABIND9INRDZI"/>
    <x v="1"/>
    <s v="I"/>
    <s v="FI2627000176"/>
    <d v="2026-04-24T00:00:00"/>
    <s v="INR"/>
    <n v="684578.18"/>
    <d v="2026-06-03T00:00:00"/>
    <d v="2026-04-24T00:00:00"/>
    <d v="2026-06-23T00:00:00"/>
    <s v="10061"/>
    <d v="2026-04-24T00:00:00"/>
    <m/>
    <m/>
    <s v="TowerGBT-3 Leg Tubular VT30M 200 KMPH"/>
    <n v="616120.36200000008"/>
    <n v="7.6999999999999999E-2"/>
    <n v="60"/>
    <n v="7799"/>
    <n v="608321.36200000008"/>
    <m/>
    <m/>
    <m/>
    <m/>
    <m/>
    <m/>
    <n v="274315421.81999999"/>
  </r>
  <r>
    <n v="8"/>
    <n v="59"/>
    <s v="FABIND9INRDZI"/>
    <x v="1"/>
    <s v="I"/>
    <s v="FI2627000177"/>
    <d v="2026-04-24T00:00:00"/>
    <s v="INR"/>
    <n v="75263.94"/>
    <d v="2026-06-03T00:00:00"/>
    <d v="2026-04-24T00:00:00"/>
    <d v="2026-06-23T00:00:00"/>
    <s v="10062"/>
    <d v="2026-04-24T00:00:00"/>
    <m/>
    <m/>
    <s v="Cast In part GBT-3L TBLR VT30M 200KMPH"/>
    <n v="67737.546000000002"/>
    <n v="7.6999999999999999E-2"/>
    <n v="60"/>
    <n v="857"/>
    <n v="66880.546000000002"/>
    <m/>
    <m/>
    <m/>
    <m/>
    <m/>
    <m/>
    <n v="274924736.06"/>
  </r>
  <r>
    <n v="8"/>
    <n v="60"/>
    <s v="FABIND9INRDZI"/>
    <x v="1"/>
    <s v="I"/>
    <s v="FI2627000178"/>
    <d v="2026-04-24T00:00:00"/>
    <s v="INR"/>
    <n v="684578.18"/>
    <d v="2026-06-03T00:00:00"/>
    <d v="2026-04-24T00:00:00"/>
    <d v="2026-06-23T00:00:00"/>
    <s v="10063"/>
    <d v="2026-04-24T00:00:00"/>
    <m/>
    <m/>
    <s v="TowerGBT-3 Leg Tubular VT30M 200 KMPH"/>
    <n v="616120.36200000008"/>
    <n v="7.6999999999999999E-2"/>
    <n v="60"/>
    <n v="7799"/>
    <n v="608321.36200000008"/>
    <m/>
    <m/>
    <m/>
    <m/>
    <m/>
    <m/>
    <n v="274315421.81999999"/>
  </r>
  <r>
    <n v="8"/>
    <n v="61"/>
    <s v="FABIND9INRDZI"/>
    <x v="1"/>
    <s v="I"/>
    <s v="FI2627000179"/>
    <d v="2026-04-24T00:00:00"/>
    <s v="INR"/>
    <n v="75263.94"/>
    <d v="2026-06-03T00:00:00"/>
    <d v="2026-04-24T00:00:00"/>
    <d v="2026-06-23T00:00:00"/>
    <s v="10064"/>
    <d v="2026-04-24T00:00:00"/>
    <m/>
    <m/>
    <s v="Cast In part GBT-3L TBLR VT30M 200KMPH"/>
    <n v="67737.546000000002"/>
    <n v="7.6999999999999999E-2"/>
    <n v="60"/>
    <n v="857"/>
    <n v="66880.546000000002"/>
    <m/>
    <m/>
    <m/>
    <m/>
    <m/>
    <m/>
    <n v="274924736.06"/>
  </r>
  <r>
    <n v="8"/>
    <n v="62"/>
    <s v="FABIND9INRDZI"/>
    <x v="1"/>
    <s v="I"/>
    <s v="FI2627000182"/>
    <d v="2026-04-24T00:00:00"/>
    <s v="INR"/>
    <n v="574467.66"/>
    <d v="2026-06-03T00:00:00"/>
    <d v="2026-04-24T00:00:00"/>
    <d v="2026-06-23T00:00:00"/>
    <s v="806"/>
    <d v="2026-04-24T00:00:00"/>
    <m/>
    <m/>
    <s v="NBT 40Mtr Tower"/>
    <n v="517020.89400000003"/>
    <n v="7.6999999999999999E-2"/>
    <n v="60"/>
    <n v="6544"/>
    <n v="510476.89400000003"/>
    <m/>
    <m/>
    <m/>
    <m/>
    <m/>
    <m/>
    <n v="274425532.33999997"/>
  </r>
  <r>
    <n v="8"/>
    <n v="63"/>
    <s v="FABIND9INRDZI"/>
    <x v="1"/>
    <s v="I"/>
    <s v="FI2627000183"/>
    <d v="2026-04-24T00:00:00"/>
    <s v="INR"/>
    <n v="574467.66"/>
    <d v="2026-06-03T00:00:00"/>
    <d v="2026-04-24T00:00:00"/>
    <d v="2026-06-23T00:00:00"/>
    <s v="805"/>
    <d v="2026-04-24T00:00:00"/>
    <m/>
    <m/>
    <s v="NBT 40Mtr Tower"/>
    <n v="517020.89400000003"/>
    <n v="7.6999999999999999E-2"/>
    <n v="60"/>
    <n v="6544"/>
    <n v="510476.89400000003"/>
    <m/>
    <m/>
    <m/>
    <m/>
    <m/>
    <m/>
    <n v="274425532.33999997"/>
  </r>
  <r>
    <n v="8"/>
    <n v="64"/>
    <s v="FABIND9INRDZI"/>
    <x v="1"/>
    <s v="I"/>
    <s v="FI2627000184"/>
    <d v="2026-04-24T00:00:00"/>
    <s v="INR"/>
    <n v="574467.66"/>
    <d v="2026-06-03T00:00:00"/>
    <d v="2026-04-24T00:00:00"/>
    <d v="2026-06-23T00:00:00"/>
    <s v="807"/>
    <d v="2026-04-24T00:00:00"/>
    <m/>
    <m/>
    <s v="NBT 40Mtr Tower"/>
    <n v="517020.89400000003"/>
    <n v="7.6999999999999999E-2"/>
    <n v="60"/>
    <n v="6544"/>
    <n v="510476.89400000003"/>
    <m/>
    <m/>
    <m/>
    <m/>
    <m/>
    <m/>
    <n v="274425532.33999997"/>
  </r>
  <r>
    <n v="8"/>
    <n v="65"/>
    <s v="FABIND9INRDZI"/>
    <x v="1"/>
    <s v="I"/>
    <s v="FI2627000185"/>
    <d v="2026-04-24T00:00:00"/>
    <s v="INR"/>
    <n v="574467.66"/>
    <d v="2026-06-03T00:00:00"/>
    <d v="2026-04-24T00:00:00"/>
    <d v="2026-06-23T00:00:00"/>
    <s v="10066"/>
    <d v="2026-04-24T00:00:00"/>
    <m/>
    <m/>
    <s v="NBT 40Mtr Tower"/>
    <n v="517020.89400000003"/>
    <n v="7.6999999999999999E-2"/>
    <n v="60"/>
    <n v="6544"/>
    <n v="510476.89400000003"/>
    <m/>
    <m/>
    <m/>
    <m/>
    <m/>
    <m/>
    <n v="274425532.33999997"/>
  </r>
  <r>
    <n v="8"/>
    <n v="66"/>
    <s v="FABIND9INRDZI"/>
    <x v="1"/>
    <s v="I"/>
    <s v="FI2627000186"/>
    <d v="2026-04-24T00:00:00"/>
    <s v="INR"/>
    <n v="574467.66"/>
    <d v="2026-06-03T00:00:00"/>
    <d v="2026-04-24T00:00:00"/>
    <d v="2026-06-23T00:00:00"/>
    <s v="10067"/>
    <d v="2026-04-24T00:00:00"/>
    <m/>
    <m/>
    <s v="NBT 40Mtr Tower"/>
    <n v="517020.89400000003"/>
    <n v="7.6999999999999999E-2"/>
    <n v="60"/>
    <n v="6544"/>
    <n v="510476.89400000003"/>
    <m/>
    <m/>
    <m/>
    <m/>
    <m/>
    <m/>
    <n v="274425532.33999997"/>
  </r>
  <r>
    <n v="8"/>
    <n v="67"/>
    <s v="FABIND9INRDZI"/>
    <x v="1"/>
    <s v="I"/>
    <s v="FI2627000188"/>
    <d v="2026-04-24T00:00:00"/>
    <s v="INR"/>
    <n v="481668.92"/>
    <d v="2026-06-03T00:00:00"/>
    <d v="2026-04-24T00:00:00"/>
    <d v="2026-06-23T00:00:00"/>
    <s v="11529"/>
    <d v="2026-04-24T00:00:00"/>
    <m/>
    <m/>
    <s v="TOWER GBT 3Legged VM 30M 170KMPH"/>
    <n v="433502.02799999999"/>
    <n v="7.6999999999999999E-2"/>
    <n v="60"/>
    <n v="5487"/>
    <n v="428015.02799999999"/>
    <m/>
    <m/>
    <m/>
    <m/>
    <m/>
    <m/>
    <n v="274518331.07999998"/>
  </r>
  <r>
    <n v="9"/>
    <n v="68"/>
    <s v="FABIND9INRDZI"/>
    <x v="1"/>
    <s v="I"/>
    <s v="FI2627000196"/>
    <d v="2026-04-26T00:00:00"/>
    <s v="INR"/>
    <n v="574467.66"/>
    <d v="2026-06-05T00:00:00"/>
    <d v="2026-04-27T00:00:00"/>
    <d v="2026-06-25T00:00:00"/>
    <s v="78526"/>
    <d v="2026-04-26T00:00:00"/>
    <m/>
    <m/>
    <s v="NBT 40Mtr Tower"/>
    <n v="517020.89400000003"/>
    <n v="7.6999999999999999E-2"/>
    <n v="59"/>
    <n v="6435"/>
    <n v="510585.89400000003"/>
    <m/>
    <m/>
    <m/>
    <m/>
    <m/>
    <m/>
    <n v="274425532.33999997"/>
  </r>
  <r>
    <n v="9"/>
    <n v="69"/>
    <s v="FABIND9INRDZI"/>
    <x v="1"/>
    <s v="I"/>
    <s v="FI2627000197"/>
    <d v="2026-04-26T00:00:00"/>
    <s v="INR"/>
    <n v="574467.66"/>
    <d v="2026-06-05T00:00:00"/>
    <d v="2026-04-27T00:00:00"/>
    <d v="2026-06-25T00:00:00"/>
    <s v="10070"/>
    <d v="2026-04-26T00:00:00"/>
    <m/>
    <m/>
    <s v="NBT 40Mtr Tower"/>
    <n v="517020.89400000003"/>
    <n v="7.6999999999999999E-2"/>
    <n v="59"/>
    <n v="6435"/>
    <n v="510585.89400000003"/>
    <m/>
    <m/>
    <m/>
    <m/>
    <m/>
    <m/>
    <n v="274425532.33999997"/>
  </r>
  <r>
    <n v="9"/>
    <n v="70"/>
    <s v="FABIND9INRDZI"/>
    <x v="1"/>
    <s v="I"/>
    <s v="FI2627000198"/>
    <d v="2026-04-26T00:00:00"/>
    <s v="INR"/>
    <n v="574467.66"/>
    <d v="2026-06-05T00:00:00"/>
    <d v="2026-04-27T00:00:00"/>
    <d v="2026-06-25T00:00:00"/>
    <s v="810"/>
    <d v="2026-04-26T00:00:00"/>
    <m/>
    <m/>
    <s v="NBT 40Mtr Tower"/>
    <n v="517020.89400000003"/>
    <n v="7.6999999999999999E-2"/>
    <n v="59"/>
    <n v="6435"/>
    <n v="510585.89400000003"/>
    <m/>
    <m/>
    <m/>
    <m/>
    <m/>
    <m/>
    <n v="274425532.33999997"/>
  </r>
  <r>
    <n v="9"/>
    <n v="71"/>
    <s v="FABIND9INRDZI"/>
    <x v="1"/>
    <s v="I"/>
    <s v="FI2627000199"/>
    <d v="2026-04-26T00:00:00"/>
    <s v="INR"/>
    <n v="574467.66"/>
    <d v="2026-06-05T00:00:00"/>
    <d v="2026-04-27T00:00:00"/>
    <d v="2026-06-25T00:00:00"/>
    <s v="11530"/>
    <d v="2026-04-26T00:00:00"/>
    <m/>
    <m/>
    <s v="NBT 40Mtr Tower"/>
    <n v="517020.89400000003"/>
    <n v="7.6999999999999999E-2"/>
    <n v="59"/>
    <n v="6435"/>
    <n v="510585.89400000003"/>
    <m/>
    <m/>
    <m/>
    <m/>
    <m/>
    <m/>
    <n v="274425532.33999997"/>
  </r>
  <r>
    <n v="0"/>
    <n v="72"/>
    <s v="FABIND9INRDZI"/>
    <x v="2"/>
    <s v="I"/>
    <s v="FI2526009378"/>
    <d v="2026-03-12T00:00:00"/>
    <s v="INR"/>
    <n v="764307.41"/>
    <d v="2026-04-25T00:00:00"/>
    <d v="2026-04-23T00:00:00"/>
    <d v="2026-05-15T00:00:00"/>
    <m/>
    <d v="2026-03-12T00:00:00"/>
    <m/>
    <m/>
    <m/>
    <n v="687876.66899999999"/>
    <n v="7.6999999999999999E-2"/>
    <n v="22"/>
    <n v="3193"/>
    <n v="684683.66899999999"/>
    <m/>
    <m/>
    <m/>
    <m/>
    <m/>
    <m/>
    <n v="219235692.59"/>
  </r>
  <r>
    <n v="1"/>
    <n v="73"/>
    <s v="FABIND9INRDZI"/>
    <x v="2"/>
    <s v="I"/>
    <s v="FI2627000094"/>
    <d v="2026-04-16T00:00:00"/>
    <s v="INR"/>
    <n v="822460"/>
    <d v="2026-05-30T00:00:00"/>
    <d v="2026-04-20T00:00:00"/>
    <d v="2026-06-19T00:00:00"/>
    <n v="2000146043"/>
    <d v="2026-04-16T00:00:00"/>
    <m/>
    <m/>
    <s v="CIP for 12/18 Panel Structure_New Design"/>
    <n v="740214"/>
    <n v="7.6999999999999999E-2"/>
    <n v="60"/>
    <n v="9369"/>
    <n v="730845"/>
    <m/>
    <m/>
    <m/>
    <m/>
    <m/>
    <m/>
    <n v="219177540"/>
  </r>
  <r>
    <n v="1"/>
    <n v="74"/>
    <s v="FABIND9INRDZI"/>
    <x v="2"/>
    <s v="I"/>
    <s v="FI2627000107"/>
    <d v="2026-04-19T00:00:00"/>
    <s v="INR"/>
    <n v="822460"/>
    <d v="2026-06-02T00:00:00"/>
    <d v="2026-04-20T00:00:00"/>
    <d v="2026-06-22T00:00:00"/>
    <n v="2000146110"/>
    <d v="2026-04-19T00:00:00"/>
    <m/>
    <m/>
    <s v="CIP for 12/18 Panel Structure_New Design"/>
    <n v="740214"/>
    <n v="7.6999999999999999E-2"/>
    <n v="63"/>
    <n v="9838"/>
    <n v="730376"/>
    <m/>
    <m/>
    <m/>
    <m/>
    <m/>
    <m/>
    <n v="219177540"/>
  </r>
  <r>
    <n v="2"/>
    <n v="75"/>
    <s v="FABIND9INRDZI"/>
    <x v="2"/>
    <s v="I"/>
    <s v="FI2627000123"/>
    <d v="2026-04-20T00:00:00"/>
    <s v="INR"/>
    <n v="766484.34"/>
    <d v="2026-06-03T00:00:00"/>
    <d v="2026-04-23T00:00:00"/>
    <d v="2026-06-23T00:00:00"/>
    <n v="2000146126"/>
    <d v="2026-04-20T00:00:00"/>
    <m/>
    <m/>
    <s v="TOWER12A TUBULR3 LEG W PLT &amp; FNCE-FAB"/>
    <n v="689835.90599999996"/>
    <n v="7.6999999999999999E-2"/>
    <n v="61"/>
    <n v="8877"/>
    <n v="680958.90599999996"/>
    <m/>
    <m/>
    <m/>
    <m/>
    <m/>
    <m/>
    <n v="219233515.66"/>
  </r>
  <r>
    <n v="2"/>
    <n v="76"/>
    <s v="FABIND9INRDZI"/>
    <x v="2"/>
    <s v="I"/>
    <s v="FI2627000124"/>
    <d v="2026-04-20T00:00:00"/>
    <s v="INR"/>
    <n v="766484.34"/>
    <d v="2026-06-03T00:00:00"/>
    <d v="2026-04-23T00:00:00"/>
    <d v="2026-06-23T00:00:00"/>
    <n v="2000146129"/>
    <d v="2026-04-20T00:00:00"/>
    <m/>
    <m/>
    <s v="TOWER12A TUBULR3 LEG W PLT &amp; FNCE-FAB"/>
    <n v="689835.90599999996"/>
    <n v="7.6999999999999999E-2"/>
    <n v="61"/>
    <n v="8877"/>
    <n v="680958.90599999996"/>
    <m/>
    <m/>
    <m/>
    <m/>
    <m/>
    <m/>
    <n v="219233515.66"/>
  </r>
  <r>
    <n v="2"/>
    <n v="77"/>
    <s v="FABIND9INRDZI"/>
    <x v="2"/>
    <s v="I"/>
    <s v="FI2627000125"/>
    <d v="2026-04-20T00:00:00"/>
    <s v="INR"/>
    <n v="766484.34"/>
    <d v="2026-06-03T00:00:00"/>
    <d v="2026-04-23T00:00:00"/>
    <d v="2026-06-23T00:00:00"/>
    <n v="2000146130"/>
    <d v="2026-04-20T00:00:00"/>
    <m/>
    <m/>
    <s v="TOWER12A TUBULR3 LEG W PLT &amp; FNCE-FAB"/>
    <n v="689835.90599999996"/>
    <n v="7.6999999999999999E-2"/>
    <n v="61"/>
    <n v="8877"/>
    <n v="680958.90599999996"/>
    <m/>
    <m/>
    <m/>
    <m/>
    <m/>
    <m/>
    <n v="219233515.66"/>
  </r>
  <r>
    <n v="2"/>
    <n v="78"/>
    <s v="FABIND9INRDZI"/>
    <x v="2"/>
    <s v="I"/>
    <s v="FI2627000126"/>
    <d v="2026-04-20T00:00:00"/>
    <s v="INR"/>
    <n v="766484.34"/>
    <d v="2026-06-03T00:00:00"/>
    <d v="2026-04-23T00:00:00"/>
    <d v="2026-06-23T00:00:00"/>
    <n v="2000146128"/>
    <d v="2026-04-20T00:00:00"/>
    <m/>
    <m/>
    <s v="TOWER12A TUBULR3 LEG W PLT &amp; FNCE-FAB"/>
    <n v="689835.90599999996"/>
    <n v="7.6999999999999999E-2"/>
    <n v="61"/>
    <n v="8877"/>
    <n v="680958.90599999996"/>
    <m/>
    <m/>
    <m/>
    <m/>
    <m/>
    <m/>
    <n v="219233515.66"/>
  </r>
  <r>
    <n v="2"/>
    <n v="79"/>
    <s v="FABIND9INRDZI"/>
    <x v="2"/>
    <s v="I"/>
    <s v="FI2627000143"/>
    <d v="2026-04-21T00:00:00"/>
    <s v="INR"/>
    <n v="822460"/>
    <d v="2026-06-04T00:00:00"/>
    <d v="2026-04-23T00:00:00"/>
    <d v="2026-06-24T00:00:00"/>
    <n v="2000146147"/>
    <d v="2026-04-21T00:00:00"/>
    <m/>
    <m/>
    <s v="CIP for 12/18 Panel Structure_New Design"/>
    <n v="740214"/>
    <n v="7.6999999999999999E-2"/>
    <n v="62"/>
    <n v="9682"/>
    <n v="730532"/>
    <m/>
    <m/>
    <m/>
    <m/>
    <m/>
    <m/>
    <n v="219177540"/>
  </r>
  <r>
    <n v="2"/>
    <n v="80"/>
    <s v="FABIND9INRDZI"/>
    <x v="2"/>
    <s v="I"/>
    <s v="FI2627000146"/>
    <d v="2026-04-21T00:00:00"/>
    <s v="INR"/>
    <n v="822460"/>
    <d v="2026-06-04T00:00:00"/>
    <d v="2026-04-23T00:00:00"/>
    <d v="2026-06-24T00:00:00"/>
    <n v="2000146148"/>
    <d v="2026-04-21T00:00:00"/>
    <m/>
    <m/>
    <s v="CIP for 12/18 Panel Structure_New Design"/>
    <n v="740214"/>
    <n v="7.6999999999999999E-2"/>
    <n v="62"/>
    <n v="9682"/>
    <n v="730532"/>
    <m/>
    <m/>
    <m/>
    <m/>
    <m/>
    <m/>
    <n v="219177540"/>
  </r>
  <r>
    <n v="3"/>
    <n v="81"/>
    <s v="FABIND9INRDZI"/>
    <x v="2"/>
    <s v="I"/>
    <s v="FI2627000154"/>
    <d v="2026-04-22T00:00:00"/>
    <s v="INR"/>
    <n v="1069198"/>
    <d v="2026-06-05T00:00:00"/>
    <d v="2026-04-23T00:00:00"/>
    <d v="2026-06-25T00:00:00"/>
    <n v="2000146151"/>
    <d v="2026-04-22T00:00:00"/>
    <m/>
    <m/>
    <s v="TOWER12A TUBULR3 LEG W PLT &amp; FNCE-FAB"/>
    <n v="962278.20000000007"/>
    <n v="7.6999999999999999E-2"/>
    <n v="63"/>
    <n v="12789"/>
    <n v="949489.20000000007"/>
    <m/>
    <m/>
    <m/>
    <m/>
    <m/>
    <m/>
    <n v="218930802"/>
  </r>
  <r>
    <n v="4"/>
    <n v="82"/>
    <s v="FABIND9INRDZI"/>
    <x v="2"/>
    <s v="I"/>
    <s v="FI2627000164"/>
    <d v="2026-04-23T00:00:00"/>
    <s v="INR"/>
    <n v="916860"/>
    <d v="2026-06-06T00:00:00"/>
    <d v="2026-04-23T00:00:00"/>
    <d v="2026-06-26T00:00:00"/>
    <s v="2000146179"/>
    <d v="2026-04-23T00:00:00"/>
    <m/>
    <m/>
    <s v="GBM30MTRIBANDLOADING50M/S-FAB"/>
    <n v="825174"/>
    <n v="7.6999999999999999E-2"/>
    <n v="64"/>
    <n v="11141"/>
    <n v="814033"/>
    <m/>
    <m/>
    <m/>
    <m/>
    <m/>
    <m/>
    <n v="219083140"/>
  </r>
  <r>
    <n v="4"/>
    <n v="83"/>
    <s v="FABIND9INRDZI"/>
    <x v="2"/>
    <s v="I"/>
    <s v="FI2627000165"/>
    <d v="2026-04-23T00:00:00"/>
    <s v="INR"/>
    <n v="848001.1"/>
    <d v="2026-06-06T00:00:00"/>
    <d v="2026-04-23T00:00:00"/>
    <d v="2026-06-26T00:00:00"/>
    <s v="2000146180"/>
    <d v="2026-04-23T00:00:00"/>
    <m/>
    <m/>
    <s v="TUBULAR POLE 23M HIGH WS-50M/S"/>
    <n v="763200.99"/>
    <n v="7.6999999999999999E-2"/>
    <n v="64"/>
    <n v="10304"/>
    <n v="752896.99"/>
    <m/>
    <m/>
    <m/>
    <m/>
    <m/>
    <m/>
    <n v="219151998.90000001"/>
  </r>
  <r>
    <n v="4"/>
    <n v="84"/>
    <s v="FABIND9INRDZI"/>
    <x v="2"/>
    <s v="I"/>
    <s v="FI2627000170"/>
    <d v="2026-04-23T00:00:00"/>
    <s v="INR"/>
    <n v="766484.34"/>
    <d v="2026-06-06T00:00:00"/>
    <d v="2026-04-23T00:00:00"/>
    <d v="2026-06-26T00:00:00"/>
    <s v="2000146185"/>
    <d v="2026-04-23T00:00:00"/>
    <m/>
    <m/>
    <s v="TOWER12A TUBULR3 LEG W PLT &amp; FNCE-FAB"/>
    <n v="689835.90599999996"/>
    <n v="7.6999999999999999E-2"/>
    <n v="64"/>
    <n v="9314"/>
    <n v="680521.90599999996"/>
    <m/>
    <m/>
    <m/>
    <m/>
    <m/>
    <m/>
    <n v="219233515.66"/>
  </r>
  <r>
    <n v="4"/>
    <n v="85"/>
    <s v="FABIND9INRDZI"/>
    <x v="2"/>
    <s v="I"/>
    <s v="FI2627000171"/>
    <d v="2026-04-23T00:00:00"/>
    <s v="INR"/>
    <n v="766484.34"/>
    <d v="2026-06-06T00:00:00"/>
    <d v="2026-04-23T00:00:00"/>
    <d v="2026-06-26T00:00:00"/>
    <s v="2000146189"/>
    <d v="2026-04-23T00:00:00"/>
    <m/>
    <m/>
    <s v="TOWER12A TUBULR3 LEG W PLT &amp; FNCE-FAB"/>
    <n v="689835.90599999996"/>
    <n v="7.6999999999999999E-2"/>
    <n v="64"/>
    <n v="9314"/>
    <n v="680521.90599999996"/>
    <m/>
    <m/>
    <m/>
    <m/>
    <m/>
    <m/>
    <n v="219233515.66"/>
  </r>
  <r>
    <n v="4"/>
    <n v="86"/>
    <s v="FABIND9INRDZI"/>
    <x v="2"/>
    <s v="I"/>
    <s v="FI2627000175"/>
    <d v="2026-04-23T00:00:00"/>
    <s v="INR"/>
    <n v="766484.34"/>
    <d v="2026-06-06T00:00:00"/>
    <d v="2026-04-23T00:00:00"/>
    <d v="2026-06-26T00:00:00"/>
    <s v="2000146186"/>
    <d v="2026-04-23T00:00:00"/>
    <m/>
    <m/>
    <s v="TOWER12A TUBULR3 LEG W PLT &amp; FNCE-FAB"/>
    <n v="689835.90599999996"/>
    <n v="7.6999999999999999E-2"/>
    <n v="64"/>
    <n v="9314"/>
    <n v="680521.90599999996"/>
    <m/>
    <m/>
    <m/>
    <m/>
    <m/>
    <m/>
    <n v="219233515.66"/>
  </r>
  <r>
    <n v="5"/>
    <n v="87"/>
    <s v="FABIND9INRDZI"/>
    <x v="2"/>
    <s v="I"/>
    <s v="FI2627000181"/>
    <d v="2026-04-24T00:00:00"/>
    <s v="INR"/>
    <n v="766484.34"/>
    <d v="2026-06-07T00:00:00"/>
    <d v="2026-04-24T00:00:00"/>
    <d v="2026-06-27T00:00:00"/>
    <s v="2000146210"/>
    <d v="2026-04-24T00:00:00"/>
    <m/>
    <m/>
    <s v="TOWER12A TUBULR3 LEG W PLT &amp; FNCE-FAB"/>
    <n v="689835.90599999996"/>
    <n v="7.6999999999999999E-2"/>
    <n v="64"/>
    <n v="9314"/>
    <n v="680521.90599999996"/>
    <m/>
    <m/>
    <m/>
    <m/>
    <m/>
    <m/>
    <n v="219233515.66"/>
  </r>
  <r>
    <n v="5"/>
    <n v="88"/>
    <s v="FABIND9INRDZI"/>
    <x v="2"/>
    <s v="I"/>
    <s v="FI2627000187"/>
    <d v="2026-04-24T00:00:00"/>
    <s v="INR"/>
    <n v="766484.34"/>
    <d v="2026-06-07T00:00:00"/>
    <d v="2026-04-24T00:00:00"/>
    <d v="2026-06-27T00:00:00"/>
    <s v="2000146212"/>
    <d v="2026-04-24T00:00:00"/>
    <m/>
    <m/>
    <s v="TOWER12A TUBULR3 LEG W PLT &amp; FNCE-FAB"/>
    <n v="689835.90599999996"/>
    <n v="7.6999999999999999E-2"/>
    <n v="64"/>
    <n v="9314"/>
    <n v="680521.90599999996"/>
    <m/>
    <m/>
    <m/>
    <m/>
    <m/>
    <m/>
    <n v="219233515.66"/>
  </r>
  <r>
    <n v="6"/>
    <n v="89"/>
    <s v="FABIND9INRDZI"/>
    <x v="2"/>
    <s v="I"/>
    <s v="FI2627000191"/>
    <d v="2026-04-24T00:00:00"/>
    <s v="INR"/>
    <n v="1151810.98"/>
    <d v="2026-06-07T00:00:00"/>
    <d v="2026-04-27T00:00:00"/>
    <d v="2026-06-27T00:00:00"/>
    <s v="2000146217"/>
    <d v="2026-04-24T00:00:00"/>
    <m/>
    <m/>
    <s v="GBT60M11A-STR439M/STUBLR3L W FENCE"/>
    <n v="1036629.882"/>
    <n v="7.6999999999999999E-2"/>
    <n v="61"/>
    <n v="13340"/>
    <n v="1023289.882"/>
    <m/>
    <m/>
    <m/>
    <m/>
    <m/>
    <m/>
    <n v="218848189.02000001"/>
  </r>
  <r>
    <n v="6"/>
    <n v="90"/>
    <s v="FABIND9INRDZI"/>
    <x v="2"/>
    <s v="I"/>
    <s v="FI2627000201"/>
    <d v="2026-04-26T00:00:00"/>
    <s v="INR"/>
    <n v="766484.34"/>
    <d v="2026-06-09T00:00:00"/>
    <d v="2026-04-27T00:00:00"/>
    <d v="2026-06-29T00:00:00"/>
    <s v="2000146236"/>
    <d v="2026-04-26T00:00:00"/>
    <m/>
    <m/>
    <s v="TOWER12A TUBULR3 LEG W PLT &amp; FNCE-FAB"/>
    <n v="689835.90599999996"/>
    <n v="7.6999999999999999E-2"/>
    <n v="63"/>
    <n v="9168"/>
    <n v="680667.90599999996"/>
    <m/>
    <m/>
    <m/>
    <m/>
    <m/>
    <m/>
    <n v="219233515.66"/>
  </r>
  <r>
    <n v="0"/>
    <n v="91"/>
    <s v="FABIND9INRDZI"/>
    <x v="3"/>
    <s v="I"/>
    <s v="FI2526007253"/>
    <d v="2025-12-29T00:00:00"/>
    <s v="INR"/>
    <n v="17142711.34"/>
    <d v="2026-04-28T00:00:00"/>
    <d v="2026-02-09T00:00:00"/>
    <d v="2026-05-18T00:00:00"/>
    <m/>
    <d v="2025-12-29T00:00:00"/>
    <m/>
    <m/>
    <m/>
    <n v="15428440.206"/>
    <n v="7.6999999999999999E-2"/>
    <n v="98"/>
    <n v="318967"/>
    <n v="15109473.206"/>
    <m/>
    <m/>
    <m/>
    <m/>
    <m/>
    <m/>
    <n v="66187288.659999996"/>
  </r>
  <r>
    <n v="0"/>
    <n v="92"/>
    <s v="FABIND9INRDZI"/>
    <x v="3"/>
    <s v="I"/>
    <s v="FI2526007571"/>
    <d v="2026-01-15T00:00:00"/>
    <s v="INR"/>
    <n v="40214"/>
    <d v="2026-05-15T00:00:00"/>
    <d v="2026-02-09T00:00:00"/>
    <d v="2026-06-04T00:00:00"/>
    <m/>
    <d v="2026-01-15T00:00:00"/>
    <m/>
    <m/>
    <m/>
    <n v="36192.6"/>
    <n v="7.6999999999999999E-2"/>
    <n v="115"/>
    <n v="878"/>
    <n v="35314.6"/>
    <m/>
    <m/>
    <m/>
    <m/>
    <m/>
    <m/>
    <n v="83289786"/>
  </r>
  <r>
    <n v="0"/>
    <n v="93"/>
    <s v="FABIND9INRDZI"/>
    <x v="3"/>
    <s v="I"/>
    <s v="FI2526007776"/>
    <d v="2026-01-21T00:00:00"/>
    <s v="INR"/>
    <n v="10602"/>
    <d v="2026-05-21T00:00:00"/>
    <d v="2026-02-09T00:00:00"/>
    <d v="2026-06-10T00:00:00"/>
    <m/>
    <d v="2026-01-21T00:00:00"/>
    <m/>
    <m/>
    <m/>
    <n v="9541.8000000000011"/>
    <n v="7.6999999999999999E-2"/>
    <n v="121"/>
    <n v="244"/>
    <n v="9297.8000000000011"/>
    <m/>
    <m/>
    <m/>
    <m/>
    <m/>
    <m/>
    <n v="83319398"/>
  </r>
  <r>
    <n v="0"/>
    <n v="94"/>
    <s v="FABIND9INRDZI"/>
    <x v="3"/>
    <s v="I"/>
    <s v="FI2526007863"/>
    <d v="2026-01-24T00:00:00"/>
    <s v="INR"/>
    <n v="4838730"/>
    <d v="2026-05-24T00:00:00"/>
    <d v="2026-02-09T00:00:00"/>
    <d v="2026-06-13T00:00:00"/>
    <m/>
    <d v="2026-01-24T00:00:00"/>
    <m/>
    <m/>
    <m/>
    <n v="4354857"/>
    <n v="7.6999999999999999E-2"/>
    <n v="124"/>
    <n v="113918"/>
    <n v="4240939"/>
    <m/>
    <m/>
    <m/>
    <m/>
    <m/>
    <m/>
    <n v="78491270"/>
  </r>
  <r>
    <n v="0"/>
    <n v="95"/>
    <s v="FABIND9INRDZI"/>
    <x v="3"/>
    <s v="I"/>
    <s v="FI2526008626"/>
    <d v="2026-02-19T00:00:00"/>
    <s v="INR"/>
    <n v="84594.2"/>
    <d v="2026-06-19T00:00:00"/>
    <d v="2026-04-17T00:00:00"/>
    <d v="2026-07-09T00:00:00"/>
    <m/>
    <d v="2026-02-19T00:00:00"/>
    <m/>
    <m/>
    <m/>
    <n v="76134.78"/>
    <n v="7.6999999999999999E-2"/>
    <n v="83"/>
    <n v="1333"/>
    <n v="74801.78"/>
    <m/>
    <m/>
    <m/>
    <m/>
    <m/>
    <m/>
    <n v="83245405.799999997"/>
  </r>
  <r>
    <n v="0"/>
    <n v="96"/>
    <s v="FABIND9INRDZI"/>
    <x v="3"/>
    <s v="I"/>
    <s v="FI2526008627"/>
    <d v="2026-02-19T00:00:00"/>
    <s v="INR"/>
    <n v="92346.8"/>
    <d v="2026-06-19T00:00:00"/>
    <d v="2026-04-17T00:00:00"/>
    <d v="2026-07-09T00:00:00"/>
    <m/>
    <d v="2026-02-19T00:00:00"/>
    <m/>
    <m/>
    <m/>
    <n v="83112.12000000001"/>
    <n v="7.6999999999999999E-2"/>
    <n v="83"/>
    <n v="1455"/>
    <n v="81657.12000000001"/>
    <m/>
    <m/>
    <m/>
    <m/>
    <m/>
    <m/>
    <n v="83237653.200000003"/>
  </r>
  <r>
    <n v="0"/>
    <n v="97"/>
    <s v="FABIND9INRDZI"/>
    <x v="3"/>
    <s v="I"/>
    <s v="FI2526008643"/>
    <d v="2026-02-20T00:00:00"/>
    <s v="INR"/>
    <n v="8340.24"/>
    <d v="2026-06-20T00:00:00"/>
    <d v="2026-04-17T00:00:00"/>
    <d v="2026-07-10T00:00:00"/>
    <m/>
    <d v="2026-02-20T00:00:00"/>
    <m/>
    <m/>
    <m/>
    <n v="7506.2160000000003"/>
    <n v="7.6999999999999999E-2"/>
    <n v="84"/>
    <n v="133"/>
    <n v="7373.2160000000003"/>
    <m/>
    <m/>
    <m/>
    <m/>
    <m/>
    <m/>
    <n v="83321659.760000005"/>
  </r>
  <r>
    <n v="0"/>
    <n v="98"/>
    <s v="FABIND9INRDZI"/>
    <x v="3"/>
    <s v="I"/>
    <s v="FI2526008847"/>
    <d v="2026-02-24T00:00:00"/>
    <s v="INR"/>
    <n v="1324019"/>
    <d v="2026-06-24T00:00:00"/>
    <d v="2026-04-17T00:00:00"/>
    <d v="2026-07-14T00:00:00"/>
    <m/>
    <d v="2026-02-24T00:00:00"/>
    <m/>
    <m/>
    <m/>
    <n v="1191617.1000000001"/>
    <n v="7.6999999999999999E-2"/>
    <n v="88"/>
    <n v="22122"/>
    <n v="1169495.1000000001"/>
    <m/>
    <m/>
    <m/>
    <m/>
    <m/>
    <m/>
    <n v="82005981"/>
  </r>
  <r>
    <n v="0"/>
    <n v="99"/>
    <s v="FABIND9INRDZI"/>
    <x v="3"/>
    <s v="I"/>
    <s v="FI2526009296"/>
    <d v="2026-03-10T00:00:00"/>
    <s v="INR"/>
    <n v="548932.46"/>
    <d v="2026-07-08T00:00:00"/>
    <d v="2026-04-17T00:00:00"/>
    <d v="2026-07-28T00:00:00"/>
    <m/>
    <d v="2026-03-10T00:00:00"/>
    <m/>
    <m/>
    <m/>
    <n v="494039.21399999998"/>
    <n v="7.6999999999999999E-2"/>
    <n v="102"/>
    <n v="10631"/>
    <n v="483408.21399999998"/>
    <m/>
    <m/>
    <m/>
    <m/>
    <m/>
    <m/>
    <n v="82781067.540000007"/>
  </r>
  <r>
    <n v="0"/>
    <n v="100"/>
    <s v="FABIND9INRDZI"/>
    <x v="3"/>
    <s v="I"/>
    <s v="FI2526009297"/>
    <d v="2026-03-10T00:00:00"/>
    <s v="INR"/>
    <n v="1132374.02"/>
    <d v="2026-07-08T00:00:00"/>
    <d v="2026-04-17T00:00:00"/>
    <d v="2026-07-28T00:00:00"/>
    <m/>
    <d v="2026-03-10T00:00:00"/>
    <m/>
    <m/>
    <m/>
    <n v="1019136.618"/>
    <n v="7.6999999999999999E-2"/>
    <n v="102"/>
    <n v="21930"/>
    <n v="997206.61800000002"/>
    <m/>
    <m/>
    <m/>
    <m/>
    <m/>
    <m/>
    <n v="82197625.980000004"/>
  </r>
  <r>
    <n v="0"/>
    <n v="101"/>
    <s v="FABIND9INRDZI"/>
    <x v="3"/>
    <s v="I"/>
    <s v="FI2526009375"/>
    <d v="2026-03-13T00:00:00"/>
    <s v="INR"/>
    <n v="2100392.92"/>
    <d v="2026-07-11T00:00:00"/>
    <d v="2026-04-17T00:00:00"/>
    <d v="2026-07-31T00:00:00"/>
    <m/>
    <d v="2026-03-13T00:00:00"/>
    <m/>
    <m/>
    <m/>
    <n v="1890353.628"/>
    <n v="7.6999999999999999E-2"/>
    <n v="105"/>
    <n v="41873"/>
    <n v="1848480.628"/>
    <m/>
    <m/>
    <m/>
    <m/>
    <m/>
    <m/>
    <n v="81229607.079999998"/>
  </r>
  <r>
    <n v="0"/>
    <n v="102"/>
    <s v="FABIND9INRDZI"/>
    <x v="3"/>
    <s v="I"/>
    <s v="FI2526009442"/>
    <d v="2026-03-16T00:00:00"/>
    <s v="INR"/>
    <n v="2956569.06"/>
    <d v="2026-07-14T00:00:00"/>
    <d v="2026-04-17T00:00:00"/>
    <d v="2026-08-03T00:00:00"/>
    <m/>
    <d v="2026-03-16T00:00:00"/>
    <m/>
    <m/>
    <m/>
    <n v="2660912.1540000001"/>
    <n v="7.6999999999999999E-2"/>
    <n v="108"/>
    <n v="60625"/>
    <n v="2600287.1540000001"/>
    <m/>
    <m/>
    <m/>
    <m/>
    <m/>
    <m/>
    <n v="80373430.939999998"/>
  </r>
  <r>
    <n v="0"/>
    <n v="103"/>
    <s v="FABIND9INRDZI"/>
    <x v="3"/>
    <s v="I"/>
    <s v="FI2526009688"/>
    <d v="2026-03-26T00:00:00"/>
    <s v="INR"/>
    <n v="451109.28"/>
    <d v="2026-07-24T00:00:00"/>
    <d v="2026-04-17T00:00:00"/>
    <d v="2026-08-13T00:00:00"/>
    <m/>
    <d v="2026-03-26T00:00:00"/>
    <m/>
    <m/>
    <m/>
    <n v="405998.35200000001"/>
    <n v="7.6999999999999999E-2"/>
    <n v="118"/>
    <n v="10107"/>
    <n v="395891.35200000001"/>
    <m/>
    <m/>
    <m/>
    <m/>
    <m/>
    <m/>
    <n v="82878890.719999999"/>
  </r>
  <r>
    <n v="0"/>
    <n v="104"/>
    <s v="FABIND9INRDZI"/>
    <x v="3"/>
    <s v="I"/>
    <s v="FI2526009689"/>
    <d v="2026-03-26T00:00:00"/>
    <s v="INR"/>
    <n v="155809.56"/>
    <d v="2026-07-24T00:00:00"/>
    <d v="2026-04-17T00:00:00"/>
    <d v="2026-08-13T00:00:00"/>
    <m/>
    <d v="2026-03-26T00:00:00"/>
    <m/>
    <m/>
    <m/>
    <n v="140228.60399999999"/>
    <n v="7.6999999999999999E-2"/>
    <n v="118"/>
    <n v="3491"/>
    <n v="136737.60399999999"/>
    <m/>
    <m/>
    <m/>
    <m/>
    <m/>
    <m/>
    <n v="83174190.439999998"/>
  </r>
  <r>
    <n v="0"/>
    <n v="105"/>
    <s v="FABIND9INRDZI"/>
    <x v="3"/>
    <s v="I"/>
    <s v="FI2526009710"/>
    <d v="2026-03-30T00:00:00"/>
    <s v="INR"/>
    <n v="1625674.2"/>
    <d v="2026-07-28T00:00:00"/>
    <d v="2026-04-17T00:00:00"/>
    <d v="2026-08-17T00:00:00"/>
    <m/>
    <d v="2026-03-30T00:00:00"/>
    <m/>
    <m/>
    <m/>
    <n v="1463106.78"/>
    <n v="7.6999999999999999E-2"/>
    <n v="122"/>
    <n v="37656"/>
    <n v="1425450.78"/>
    <m/>
    <m/>
    <m/>
    <m/>
    <m/>
    <m/>
    <n v="81704325.799999997"/>
  </r>
  <r>
    <n v="0"/>
    <n v="106"/>
    <s v="FABIND9INRDZI"/>
    <x v="3"/>
    <s v="I"/>
    <s v="FI2526009711"/>
    <d v="2026-03-30T00:00:00"/>
    <s v="INR"/>
    <n v="1627034.74"/>
    <d v="2026-07-28T00:00:00"/>
    <d v="2026-04-17T00:00:00"/>
    <d v="2026-08-17T00:00:00"/>
    <m/>
    <d v="2026-03-30T00:00:00"/>
    <m/>
    <m/>
    <m/>
    <n v="1464331.2660000001"/>
    <n v="7.6999999999999999E-2"/>
    <n v="122"/>
    <n v="37687"/>
    <n v="1426644.2660000001"/>
    <m/>
    <m/>
    <m/>
    <m/>
    <m/>
    <m/>
    <n v="81702965.260000005"/>
  </r>
  <r>
    <n v="1"/>
    <n v="107"/>
    <s v="FABIND9INRDZI"/>
    <x v="3"/>
    <s v="I"/>
    <s v="FI2627000103"/>
    <d v="2026-04-17T00:00:00"/>
    <s v="INR"/>
    <n v="5560.16"/>
    <d v="2026-08-15T00:00:00"/>
    <d v="2026-04-23T00:00:00"/>
    <d v="2026-09-04T00:00:00"/>
    <n v="91749"/>
    <d v="2026-04-17T00:00:00"/>
    <m/>
    <m/>
    <s v="C1B1124001756002-Suprt Plate Bsbr 2 Bsbr"/>
    <n v="5004.1440000000002"/>
    <n v="7.6999999999999999E-2"/>
    <n v="134"/>
    <n v="141"/>
    <n v="4863.1440000000002"/>
    <m/>
    <m/>
    <m/>
    <m/>
    <m/>
    <m/>
    <n v="83324439.840000004"/>
  </r>
  <r>
    <n v="1"/>
    <n v="108"/>
    <s v="FABIND9INRDZI"/>
    <x v="3"/>
    <s v="I"/>
    <s v="FI2627000138"/>
    <d v="2026-04-21T00:00:00"/>
    <s v="INR"/>
    <n v="357129.36"/>
    <d v="2026-08-19T00:00:00"/>
    <d v="2026-04-23T00:00:00"/>
    <d v="2026-09-08T00:00:00"/>
    <s v="NSK/7547"/>
    <d v="2026-04-21T00:00:00"/>
    <m/>
    <m/>
    <s v="PTD5903864004-Struct ISA 65X65X6"/>
    <n v="321416.424"/>
    <n v="7.6999999999999999E-2"/>
    <n v="138"/>
    <n v="9357"/>
    <n v="312059.424"/>
    <m/>
    <m/>
    <m/>
    <m/>
    <m/>
    <m/>
    <n v="82972870.640000001"/>
  </r>
  <r>
    <n v="1"/>
    <n v="109"/>
    <s v="FABIND9INRDZI"/>
    <x v="3"/>
    <s v="I"/>
    <s v="FI2627000141"/>
    <d v="2026-04-21T00:00:00"/>
    <s v="INR"/>
    <n v="418134.18"/>
    <d v="2026-08-19T00:00:00"/>
    <d v="2026-04-23T00:00:00"/>
    <d v="2026-09-08T00:00:00"/>
    <s v="NSK/7546"/>
    <d v="2026-04-21T00:00:00"/>
    <m/>
    <m/>
    <s v="PTD5903894001-Struct ISA 7575X8-3230L"/>
    <n v="376320.76199999999"/>
    <n v="7.6999999999999999E-2"/>
    <n v="138"/>
    <n v="10956"/>
    <n v="365364.76199999999"/>
    <m/>
    <m/>
    <m/>
    <m/>
    <m/>
    <m/>
    <n v="82911865.819999993"/>
  </r>
  <r>
    <n v="1"/>
    <n v="110"/>
    <s v="FABIND9INRDZI"/>
    <x v="3"/>
    <s v="I"/>
    <s v="FI2627000145"/>
    <d v="2026-04-21T00:00:00"/>
    <s v="INR"/>
    <n v="479139"/>
    <d v="2026-08-19T00:00:00"/>
    <d v="2026-04-23T00:00:00"/>
    <d v="2026-09-08T00:00:00"/>
    <s v="NSK/7545"/>
    <d v="2026-04-21T00:00:00"/>
    <m/>
    <m/>
    <s v="PTD5903754003-FB M39 X1080"/>
    <n v="431225.10000000003"/>
    <n v="7.6999999999999999E-2"/>
    <n v="138"/>
    <n v="12554"/>
    <n v="418671.10000000003"/>
    <m/>
    <m/>
    <m/>
    <m/>
    <m/>
    <m/>
    <n v="82850861"/>
  </r>
  <r>
    <n v="1"/>
    <n v="111"/>
    <s v="FABIND9INRDZI"/>
    <x v="3"/>
    <s v="I"/>
    <s v="FI2627000147"/>
    <d v="2026-04-21T00:00:00"/>
    <s v="INR"/>
    <n v="692866.5"/>
    <d v="2026-08-19T00:00:00"/>
    <d v="2026-04-23T00:00:00"/>
    <d v="2026-09-08T00:00:00"/>
    <s v="NSK/7548"/>
    <d v="2026-04-21T00:00:00"/>
    <m/>
    <m/>
    <s v="PTD5903754002 FB M36X1080 Non-PG 420 KV"/>
    <n v="623579.85"/>
    <n v="7.6999999999999999E-2"/>
    <n v="138"/>
    <n v="18154"/>
    <n v="605425.85"/>
    <m/>
    <m/>
    <m/>
    <m/>
    <m/>
    <m/>
    <n v="82637133.5"/>
  </r>
  <r>
    <n v="2"/>
    <n v="112"/>
    <s v="FABIND9INRDZI"/>
    <x v="3"/>
    <s v="I"/>
    <s v="FI2627000162"/>
    <d v="2026-04-22T00:00:00"/>
    <s v="INR"/>
    <n v="155809.56"/>
    <d v="2026-08-20T00:00:00"/>
    <d v="2026-04-23T00:00:00"/>
    <d v="2026-09-09T00:00:00"/>
    <s v="NSK/7583"/>
    <d v="2026-04-22T00:00:00"/>
    <m/>
    <m/>
    <s v="PTD5903542001-Platform wt Ladder 1450 Ht"/>
    <n v="140228.60399999999"/>
    <n v="7.6999999999999999E-2"/>
    <n v="139"/>
    <n v="4112"/>
    <n v="136116.60399999999"/>
    <m/>
    <m/>
    <m/>
    <m/>
    <m/>
    <m/>
    <n v="83174190.439999998"/>
  </r>
  <r>
    <n v="2"/>
    <n v="113"/>
    <s v="FABIND9INRDZI"/>
    <x v="3"/>
    <s v="I"/>
    <s v="FI2627000163"/>
    <d v="2026-04-22T00:00:00"/>
    <s v="INR"/>
    <n v="230361.96"/>
    <d v="2026-08-20T00:00:00"/>
    <d v="2026-04-23T00:00:00"/>
    <d v="2026-09-09T00:00:00"/>
    <s v="NSK/7582"/>
    <d v="2026-04-22T00:00:00"/>
    <m/>
    <m/>
    <s v="PTD5903542001-Platform wt Ladder 1450 Ht"/>
    <n v="207325.764"/>
    <n v="7.6999999999999999E-2"/>
    <n v="139"/>
    <n v="6079"/>
    <n v="201246.764"/>
    <m/>
    <m/>
    <m/>
    <m/>
    <m/>
    <m/>
    <n v="83099638.040000007"/>
  </r>
  <r>
    <n v="3"/>
    <n v="114"/>
    <s v="FABIND9INRDZI"/>
    <x v="3"/>
    <s v="I"/>
    <s v="FI2627000166"/>
    <d v="2026-04-23T00:00:00"/>
    <s v="INR"/>
    <n v="129841.3"/>
    <d v="2026-08-21T00:00:00"/>
    <d v="2026-04-23T00:00:00"/>
    <d v="2026-09-10T00:00:00"/>
    <s v="NSK/7583"/>
    <d v="2026-04-23T00:00:00"/>
    <m/>
    <m/>
    <s v="PTD5903542001-Platform wt Ladder 1450 Ht"/>
    <n v="116857.17"/>
    <n v="7.6999999999999999E-2"/>
    <n v="140"/>
    <n v="3451"/>
    <n v="113406.17"/>
    <m/>
    <m/>
    <m/>
    <m/>
    <m/>
    <m/>
    <n v="83200158.700000003"/>
  </r>
  <r>
    <n v="3"/>
    <n v="152"/>
    <s v="FABIND9INRDZI"/>
    <x v="3"/>
    <s v="I"/>
    <s v="FI2627000174"/>
    <d v="2026-04-23T00:00:00"/>
    <s v="INR"/>
    <n v="150509"/>
    <d v="2026-08-21T00:00:00"/>
    <d v="2026-04-23T00:00:00"/>
    <d v="2026-09-10T00:00:00"/>
    <s v="NSK/7606"/>
    <d v="2026-04-23T00:00:00"/>
    <m/>
    <m/>
    <s v="PTD5903542001-Platform wt Ladder 1450 Ht"/>
    <n v="135458.1"/>
    <n v="7.6999999999999999E-2"/>
    <n v="140"/>
    <n v="4001"/>
    <n v="131457.1"/>
    <m/>
    <m/>
    <m/>
    <m/>
    <m/>
    <m/>
    <n v="83179491"/>
  </r>
  <r>
    <n v="0"/>
    <n v="116"/>
    <s v="FABIND9INRDZI"/>
    <x v="4"/>
    <s v="I"/>
    <s v="FI2526009707"/>
    <d v="2026-03-30T00:00:00"/>
    <s v="INR"/>
    <n v="42420120.899999999"/>
    <d v="2026-05-09T00:00:00"/>
    <d v="2026-04-30T00:00:00"/>
    <d v="2026-05-29T00:00:00"/>
    <s v="2540"/>
    <d v="2026-03-30T00:00:00"/>
    <m/>
    <m/>
    <s v="500598-MMS Strctr Column Raftr &amp; Bracng"/>
    <n v="38178108.810000002"/>
    <n v="7.6999999999999999E-2"/>
    <n v="29"/>
    <n v="233566"/>
    <n v="37944542.810000002"/>
    <m/>
    <m/>
    <m/>
    <m/>
    <m/>
    <m/>
    <e v="#N/A"/>
  </r>
  <r>
    <n v="0"/>
    <n v="117"/>
    <s v="FABIND9INRDZI"/>
    <x v="4"/>
    <s v="I"/>
    <s v="FI2526009708"/>
    <d v="2026-03-30T00:00:00"/>
    <s v="INR"/>
    <n v="6290155.2000000002"/>
    <d v="2026-05-09T00:00:00"/>
    <d v="2026-04-30T00:00:00"/>
    <d v="2026-05-29T00:00:00"/>
    <s v="2349"/>
    <d v="2026-03-30T00:00:00"/>
    <m/>
    <m/>
    <s v="500598-MMS Structure-Column Post-HDG"/>
    <n v="5661139.6800000006"/>
    <n v="7.6999999999999999E-2"/>
    <n v="29"/>
    <n v="34634"/>
    <n v="5626505.6800000006"/>
    <m/>
    <m/>
    <m/>
    <m/>
    <m/>
    <m/>
    <e v="#N/A"/>
  </r>
  <r>
    <n v="0"/>
    <n v="118"/>
    <s v="FABIND9INRDZI"/>
    <x v="4"/>
    <s v="I"/>
    <s v="FI2627000028"/>
    <d v="2026-04-05T00:00:00"/>
    <s v="INR"/>
    <n v="1162743.68"/>
    <d v="2026-05-15T00:00:00"/>
    <d v="2026-04-30T00:00:00"/>
    <d v="2026-06-04T00:00:00"/>
    <s v="10012"/>
    <d v="2026-04-05T00:00:00"/>
    <m/>
    <m/>
    <s v="500598-Mdule Muntng Struct E350-Cleanmax"/>
    <n v="1046469.3119999999"/>
    <n v="7.6999999999999999E-2"/>
    <n v="35"/>
    <n v="7727"/>
    <n v="1038742.3119999999"/>
    <m/>
    <m/>
    <m/>
    <m/>
    <m/>
    <m/>
    <e v="#N/A"/>
  </r>
  <r>
    <n v="0"/>
    <n v="119"/>
    <s v="FABIND9INRDZI"/>
    <x v="4"/>
    <s v="I"/>
    <s v="FI2627000029"/>
    <d v="2026-04-05T00:00:00"/>
    <s v="INR"/>
    <n v="1162743.68"/>
    <d v="2026-05-15T00:00:00"/>
    <d v="2026-04-30T00:00:00"/>
    <d v="2026-06-04T00:00:00"/>
    <s v="10013"/>
    <d v="2026-04-05T00:00:00"/>
    <m/>
    <m/>
    <s v="500598-Mdule Muntng Struct E350-Cleanmax"/>
    <n v="1046469.3119999999"/>
    <n v="7.6999999999999999E-2"/>
    <n v="35"/>
    <n v="7727"/>
    <n v="1038742.3119999999"/>
    <m/>
    <m/>
    <m/>
    <m/>
    <m/>
    <m/>
    <e v="#N/A"/>
  </r>
  <r>
    <n v="0"/>
    <n v="120"/>
    <s v="FABIND9INRDZI"/>
    <x v="4"/>
    <s v="I"/>
    <s v="FI2627000038"/>
    <d v="2026-04-06T00:00:00"/>
    <s v="INR"/>
    <n v="1162743.68"/>
    <d v="2026-05-16T00:00:00"/>
    <d v="2026-04-30T00:00:00"/>
    <d v="2026-06-05T00:00:00"/>
    <s v="10015"/>
    <d v="2026-04-06T00:00:00"/>
    <m/>
    <m/>
    <s v="500598-Mdule Muntng Struct E350-Cleanmax"/>
    <n v="1046469.3119999999"/>
    <n v="7.6999999999999999E-2"/>
    <n v="36"/>
    <n v="7947"/>
    <n v="1038522.3119999999"/>
    <m/>
    <m/>
    <m/>
    <m/>
    <m/>
    <m/>
    <e v="#N/A"/>
  </r>
  <r>
    <n v="0"/>
    <n v="121"/>
    <s v="FABIND9INRDZI"/>
    <x v="4"/>
    <s v="I"/>
    <s v="FI2627000046"/>
    <d v="2026-04-06T00:00:00"/>
    <s v="INR"/>
    <n v="1162743.68"/>
    <d v="2026-05-16T00:00:00"/>
    <d v="2026-04-30T00:00:00"/>
    <d v="2026-06-05T00:00:00"/>
    <s v="10020"/>
    <d v="2026-04-06T00:00:00"/>
    <m/>
    <m/>
    <s v="500598-Mdule Muntng Struct E350-Cleanmax"/>
    <n v="1046469.3119999999"/>
    <n v="7.6999999999999999E-2"/>
    <n v="36"/>
    <n v="7947"/>
    <n v="1038522.3119999999"/>
    <m/>
    <m/>
    <m/>
    <m/>
    <m/>
    <m/>
    <e v="#N/A"/>
  </r>
  <r>
    <n v="0"/>
    <n v="122"/>
    <s v="FABIND9INRDZI"/>
    <x v="4"/>
    <s v="I"/>
    <s v="FI2627000076"/>
    <d v="2026-04-13T00:00:00"/>
    <s v="INR"/>
    <n v="1191733.92"/>
    <d v="2026-05-23T00:00:00"/>
    <d v="2026-04-30T00:00:00"/>
    <d v="2026-06-12T00:00:00"/>
    <s v="784"/>
    <d v="2026-04-13T00:00:00"/>
    <m/>
    <m/>
    <s v="500598-Mdule Muntng Struct E350-Cleanmax"/>
    <n v="1072560.5279999999"/>
    <n v="7.6999999999999999E-2"/>
    <n v="43"/>
    <n v="9729"/>
    <n v="1062831.5279999999"/>
    <m/>
    <m/>
    <m/>
    <m/>
    <m/>
    <m/>
    <e v="#N/A"/>
  </r>
  <r>
    <n v="0"/>
    <n v="123"/>
    <s v="FABIND9INRDZI"/>
    <x v="4"/>
    <s v="I"/>
    <s v="FI2627000161"/>
    <d v="2026-04-22T00:00:00"/>
    <s v="INR"/>
    <n v="1191733.92"/>
    <d v="2026-06-01T00:00:00"/>
    <d v="2026-04-30T00:00:00"/>
    <d v="2026-06-21T00:00:00"/>
    <s v="10057"/>
    <d v="2026-04-22T00:00:00"/>
    <m/>
    <m/>
    <s v="500598-Mdule Muntng Struct E350-Cleanmax"/>
    <n v="1072560.5279999999"/>
    <n v="7.6999999999999999E-2"/>
    <n v="52"/>
    <n v="11766"/>
    <n v="1060794.5279999999"/>
    <m/>
    <m/>
    <m/>
    <m/>
    <m/>
    <m/>
    <e v="#N/A"/>
  </r>
  <r>
    <n v="0"/>
    <n v="124"/>
    <s v="FABIND9INRDZI"/>
    <x v="4"/>
    <s v="I"/>
    <s v="FI2627000192"/>
    <d v="2026-04-24T00:00:00"/>
    <s v="INR"/>
    <n v="1191733.92"/>
    <d v="2026-06-03T00:00:00"/>
    <d v="2026-04-30T00:00:00"/>
    <d v="2026-06-23T00:00:00"/>
    <s v="10069"/>
    <d v="2026-04-24T00:00:00"/>
    <m/>
    <m/>
    <s v="500598-Mdule Muntng Struct E350-Cleanmax"/>
    <n v="1072560.5279999999"/>
    <n v="7.6999999999999999E-2"/>
    <n v="54"/>
    <n v="12218"/>
    <n v="1060342.5279999999"/>
    <m/>
    <m/>
    <m/>
    <m/>
    <m/>
    <m/>
    <e v="#N/A"/>
  </r>
  <r>
    <n v="0"/>
    <n v="125"/>
    <s v="FABIND9INRDZI"/>
    <x v="5"/>
    <s v="I"/>
    <s v="FI2627000042"/>
    <d v="2026-04-06T00:00:00"/>
    <s v="INR"/>
    <n v="485219.54000000004"/>
    <d v="2026-05-16T00:00:00"/>
    <d v="2026-04-30T00:00:00"/>
    <d v="2026-06-05T00:00:00"/>
    <s v="11517"/>
    <d v="2026-04-06T00:00:00"/>
    <m/>
    <m/>
    <s v="3M LONG &amp; 25MM DIA ROUND MS BAR"/>
    <n v="436697.58600000007"/>
    <n v="7.6999999999999999E-2"/>
    <n v="36"/>
    <n v="3317"/>
    <n v="433380.58600000007"/>
    <m/>
    <m/>
    <m/>
    <m/>
    <m/>
    <m/>
    <e v="#N/A"/>
  </r>
  <r>
    <n v="0"/>
    <n v="126"/>
    <s v="FABIND9INRDZI"/>
    <x v="5"/>
    <s v="I"/>
    <s v="FI2627000105"/>
    <d v="2026-04-17T00:00:00"/>
    <s v="INR"/>
    <n v="1175384.78"/>
    <d v="2026-05-27T00:00:00"/>
    <d v="2026-04-30T00:00:00"/>
    <d v="2026-06-16T00:00:00"/>
    <s v="21124"/>
    <d v="2026-04-17T00:00:00"/>
    <m/>
    <m/>
    <s v="C1-C185X90X15X2-2327.5L -E350 HDG_Avaada"/>
    <n v="1057846.3020000001"/>
    <n v="7.6999999999999999E-2"/>
    <n v="47"/>
    <n v="10489"/>
    <n v="1047357.3020000001"/>
    <m/>
    <m/>
    <m/>
    <m/>
    <m/>
    <m/>
    <e v="#N/A"/>
  </r>
  <r>
    <n v="0"/>
    <n v="127"/>
    <s v="FABIND9INRDZI"/>
    <x v="5"/>
    <s v="I"/>
    <s v="FI2627000106"/>
    <d v="2026-04-17T00:00:00"/>
    <s v="INR"/>
    <n v="2185489.7999999998"/>
    <d v="2026-05-27T00:00:00"/>
    <d v="2026-04-30T00:00:00"/>
    <d v="2026-06-16T00:00:00"/>
    <s v="10036"/>
    <d v="2026-04-17T00:00:00"/>
    <m/>
    <m/>
    <s v="C1-C185X90X15X2-2327.5L -E350 HDG_Avaada"/>
    <n v="1966940.8199999998"/>
    <n v="7.6999999999999999E-2"/>
    <n v="47"/>
    <n v="19502"/>
    <n v="1947438.8199999998"/>
    <m/>
    <m/>
    <m/>
    <m/>
    <m/>
    <m/>
    <e v="#N/A"/>
  </r>
  <r>
    <n v="0"/>
    <n v="128"/>
    <s v="FABIND9INRDZI"/>
    <x v="5"/>
    <s v="I"/>
    <s v="FI2627000108"/>
    <d v="2026-04-19T00:00:00"/>
    <s v="INR"/>
    <n v="1175384.78"/>
    <d v="2026-05-29T00:00:00"/>
    <d v="2026-04-30T00:00:00"/>
    <d v="2026-06-18T00:00:00"/>
    <s v="21126"/>
    <d v="2026-04-19T00:00:00"/>
    <m/>
    <m/>
    <s v="C1-C175X70X15X2-2324.8L -E350 HDG_Avaada"/>
    <n v="1057846.3020000001"/>
    <n v="7.6999999999999999E-2"/>
    <n v="49"/>
    <n v="10935"/>
    <n v="1046911.3020000001"/>
    <m/>
    <m/>
    <m/>
    <m/>
    <m/>
    <m/>
    <e v="#N/A"/>
  </r>
  <r>
    <n v="0"/>
    <n v="129"/>
    <s v="FABIND9INRDZI"/>
    <x v="5"/>
    <s v="I"/>
    <s v="FI2627000202"/>
    <d v="2026-04-26T00:00:00"/>
    <s v="INR"/>
    <n v="1345716.96"/>
    <d v="2026-06-05T00:00:00"/>
    <d v="2026-04-30T00:00:00"/>
    <d v="2026-06-25T00:00:00"/>
    <s v="78527"/>
    <d v="2026-04-26T00:00:00"/>
    <m/>
    <m/>
    <s v="C1-C185X90X15X2-2327.5L -E350 HDG_Avaada"/>
    <n v="1211145.264"/>
    <n v="7.6999999999999999E-2"/>
    <n v="56"/>
    <n v="14308"/>
    <n v="1196837.264"/>
    <m/>
    <m/>
    <m/>
    <m/>
    <m/>
    <m/>
    <e v="#N/A"/>
  </r>
  <r>
    <n v="0"/>
    <n v="130"/>
    <s v="FABIND9INRDZI"/>
    <x v="6"/>
    <s v="I"/>
    <s v="FI2627000189"/>
    <d v="2026-04-24T00:00:00"/>
    <s v="INR"/>
    <n v="1387650.5"/>
    <d v="2026-06-03T00:00:00"/>
    <d v="2026-04-30T00:00:00"/>
    <d v="2026-06-23T00:00:00"/>
    <s v="78507"/>
    <d v="2026-04-24T00:00:00"/>
    <m/>
    <m/>
    <s v="General Post 1 C150x100x15x3.0x2006"/>
    <n v="1248885.45"/>
    <n v="7.6999999999999999E-2"/>
    <n v="54"/>
    <n v="14227"/>
    <n v="1234658.45"/>
    <m/>
    <m/>
    <m/>
    <m/>
    <m/>
    <m/>
    <e v="#N/A"/>
  </r>
  <r>
    <n v="0"/>
    <n v="131"/>
    <s v="FABIND9INRDZI"/>
    <x v="6"/>
    <s v="I"/>
    <s v="FI2627000190"/>
    <d v="2026-04-24T00:00:00"/>
    <s v="INR"/>
    <n v="1451842.5"/>
    <d v="2026-06-03T00:00:00"/>
    <d v="2026-04-30T00:00:00"/>
    <d v="2026-06-23T00:00:00"/>
    <s v="78507"/>
    <d v="2026-04-24T00:00:00"/>
    <m/>
    <m/>
    <s v="General Post 1 C150x100x15x3.0x2006"/>
    <n v="1306658.25"/>
    <n v="7.6999999999999999E-2"/>
    <n v="54"/>
    <n v="14885"/>
    <n v="1291773.25"/>
    <m/>
    <m/>
    <m/>
    <m/>
    <m/>
    <m/>
    <e v="#N/A"/>
  </r>
  <r>
    <n v="0"/>
    <n v="132"/>
    <s v="FABIND9INRDZI"/>
    <x v="6"/>
    <s v="I"/>
    <s v="FI2627000204"/>
    <d v="2026-04-26T00:00:00"/>
    <s v="INR"/>
    <n v="565190.5"/>
    <d v="2026-06-05T00:00:00"/>
    <d v="2026-04-30T00:00:00"/>
    <d v="2026-06-25T00:00:00"/>
    <s v="812"/>
    <d v="2026-04-26T00:00:00"/>
    <m/>
    <m/>
    <s v="EXTENSION POST 1 - C70X30X10X2.0X1100"/>
    <n v="508671.45"/>
    <n v="7.6999999999999999E-2"/>
    <n v="56"/>
    <n v="6009"/>
    <n v="502662.45"/>
    <m/>
    <m/>
    <m/>
    <m/>
    <m/>
    <m/>
    <e v="#N/A"/>
  </r>
  <r>
    <n v="0"/>
    <n v="133"/>
    <s v="FABIND9INRDZI"/>
    <x v="6"/>
    <s v="I"/>
    <s v="FI2627000205"/>
    <d v="2026-04-27T00:00:00"/>
    <s v="INR"/>
    <n v="552151.5"/>
    <d v="2026-06-06T00:00:00"/>
    <d v="2026-04-30T00:00:00"/>
    <d v="2026-06-26T00:00:00"/>
    <s v="814"/>
    <d v="2026-04-27T00:00:00"/>
    <m/>
    <m/>
    <s v="EXTENSION POST 1 - C70X30X10X2.0X1100"/>
    <n v="496936.35000000003"/>
    <n v="7.6999999999999999E-2"/>
    <n v="57"/>
    <n v="5975"/>
    <n v="490961.35000000003"/>
    <m/>
    <m/>
    <m/>
    <m/>
    <m/>
    <m/>
    <e v="#N/A"/>
  </r>
  <r>
    <n v="0"/>
    <n v="134"/>
    <s v="FABIND9INRDZI"/>
    <x v="2"/>
    <s v="I"/>
    <s v="FI2627000206"/>
    <d v="2026-04-27T00:00:00"/>
    <s v="INR"/>
    <n v="822460"/>
    <d v="2026-06-10T00:00:00"/>
    <d v="2026-04-30T00:00:00"/>
    <d v="2026-06-30T00:00:00"/>
    <s v="2000146250"/>
    <d v="2026-04-27T00:00:00"/>
    <m/>
    <m/>
    <s v="CIP for 12/18 Panel Structure_New Design"/>
    <n v="740214"/>
    <n v="7.6999999999999999E-2"/>
    <n v="61"/>
    <n v="9525"/>
    <n v="730689"/>
    <m/>
    <m/>
    <m/>
    <m/>
    <m/>
    <m/>
    <n v="219177540"/>
  </r>
  <r>
    <n v="0"/>
    <n v="135"/>
    <s v="FABIND9INRDZI"/>
    <x v="1"/>
    <s v="I"/>
    <s v="FI2627000207"/>
    <d v="2026-04-27T00:00:00"/>
    <s v="INR"/>
    <n v="483325.64"/>
    <d v="2026-06-06T00:00:00"/>
    <d v="2026-04-30T00:00:00"/>
    <d v="2026-06-26T00:00:00"/>
    <s v="10072"/>
    <d v="2026-04-27T00:00:00"/>
    <m/>
    <m/>
    <s v="Tower- GBT- Elite 403 STR - 3L TBLR 40M"/>
    <n v="434993.076"/>
    <n v="7.6999999999999999E-2"/>
    <n v="57"/>
    <n v="5231"/>
    <n v="429762.076"/>
    <m/>
    <m/>
    <m/>
    <m/>
    <m/>
    <m/>
    <n v="274516674.36000001"/>
  </r>
  <r>
    <n v="0"/>
    <n v="136"/>
    <s v="FABIND9INRDZI"/>
    <x v="1"/>
    <s v="I"/>
    <s v="FI2627000208"/>
    <d v="2026-04-27T00:00:00"/>
    <s v="INR"/>
    <n v="483325.64"/>
    <d v="2026-06-06T00:00:00"/>
    <d v="2026-04-30T00:00:00"/>
    <d v="2026-06-26T00:00:00"/>
    <s v="10073"/>
    <d v="2026-04-27T00:00:00"/>
    <m/>
    <m/>
    <s v="Tower- GBT- Elite 403 STR - 3L TBLR 40M"/>
    <n v="434993.076"/>
    <n v="7.6999999999999999E-2"/>
    <n v="57"/>
    <n v="5231"/>
    <n v="429762.076"/>
    <m/>
    <m/>
    <m/>
    <m/>
    <m/>
    <m/>
    <n v="274516674.36000001"/>
  </r>
  <r>
    <n v="0"/>
    <n v="137"/>
    <s v="FABIND9INRDZI"/>
    <x v="1"/>
    <s v="I"/>
    <s v="FI2627000210"/>
    <d v="2026-04-28T00:00:00"/>
    <s v="INR"/>
    <n v="483325.64"/>
    <d v="2026-06-07T00:00:00"/>
    <d v="2026-04-30T00:00:00"/>
    <d v="2026-06-27T00:00:00"/>
    <s v="10074"/>
    <d v="2026-04-28T00:00:00"/>
    <m/>
    <m/>
    <s v="Tower- GBT- Elite 403 STR - 3L TBLR 40M"/>
    <n v="434993.076"/>
    <n v="7.6999999999999999E-2"/>
    <n v="58"/>
    <n v="5322"/>
    <n v="429671.076"/>
    <m/>
    <m/>
    <m/>
    <m/>
    <m/>
    <m/>
    <n v="274516674.36000001"/>
  </r>
  <r>
    <n v="0"/>
    <n v="138"/>
    <s v="FABIND9INRDZI"/>
    <x v="1"/>
    <s v="I"/>
    <s v="FI2627000211"/>
    <d v="2026-04-28T00:00:00"/>
    <s v="INR"/>
    <n v="483325.64"/>
    <d v="2026-06-07T00:00:00"/>
    <d v="2026-04-30T00:00:00"/>
    <d v="2026-06-27T00:00:00"/>
    <s v="10075"/>
    <d v="2026-04-28T00:00:00"/>
    <m/>
    <m/>
    <s v="Tower- GBT- Elite 403 STR - 3L TBLR 40M"/>
    <n v="434993.076"/>
    <n v="7.6999999999999999E-2"/>
    <n v="58"/>
    <n v="5322"/>
    <n v="429671.076"/>
    <m/>
    <m/>
    <m/>
    <m/>
    <m/>
    <m/>
    <n v="274516674.36000001"/>
  </r>
  <r>
    <n v="0"/>
    <n v="139"/>
    <s v="FABIND9INRDZI"/>
    <x v="1"/>
    <s v="I"/>
    <s v="FI2627000213"/>
    <d v="2026-04-28T00:00:00"/>
    <s v="INR"/>
    <n v="483325.64"/>
    <d v="2026-06-07T00:00:00"/>
    <d v="2026-04-30T00:00:00"/>
    <d v="2026-06-27T00:00:00"/>
    <s v="10076"/>
    <d v="2026-04-28T00:00:00"/>
    <m/>
    <m/>
    <s v="Tower- GBT- Elite 403 STR - 3L TBLR 40M"/>
    <n v="434993.076"/>
    <n v="7.6999999999999999E-2"/>
    <n v="58"/>
    <n v="5322"/>
    <n v="429671.076"/>
    <m/>
    <m/>
    <m/>
    <m/>
    <m/>
    <m/>
    <n v="274516674.36000001"/>
  </r>
  <r>
    <n v="0"/>
    <n v="140"/>
    <s v="FABIND9INRDZI"/>
    <x v="5"/>
    <s v="I"/>
    <s v="FI2627000221"/>
    <d v="2026-04-29T00:00:00"/>
    <s v="INR"/>
    <n v="2493888.65"/>
    <d v="2026-06-08T00:00:00"/>
    <d v="2026-04-30T00:00:00"/>
    <d v="2026-06-28T00:00:00"/>
    <s v="78525"/>
    <d v="2026-04-29T00:00:00"/>
    <m/>
    <m/>
    <s v="C1-C90X15X15X2-2849.62L -E350 HDG_Avaada"/>
    <n v="2244499.7850000001"/>
    <n v="7.6999999999999999E-2"/>
    <n v="59"/>
    <n v="27936"/>
    <n v="2216563.7850000001"/>
    <m/>
    <m/>
    <m/>
    <m/>
    <m/>
    <m/>
    <e v="#N/A"/>
  </r>
  <r>
    <n v="0"/>
    <n v="141"/>
    <s v="FABIND9INRDZI"/>
    <x v="5"/>
    <s v="I"/>
    <s v="FI2627000222"/>
    <d v="2026-04-29T00:00:00"/>
    <s v="INR"/>
    <n v="2493888.65"/>
    <d v="2026-06-08T00:00:00"/>
    <d v="2026-04-30T00:00:00"/>
    <d v="2026-06-28T00:00:00"/>
    <s v="10065"/>
    <d v="2026-04-29T00:00:00"/>
    <m/>
    <m/>
    <s v="C1-C90X15X15X2-2849.62L -E350 HDG_Avaada"/>
    <n v="2244499.7850000001"/>
    <n v="7.6999999999999999E-2"/>
    <n v="59"/>
    <n v="27936"/>
    <n v="2216563.7850000001"/>
    <m/>
    <m/>
    <m/>
    <m/>
    <m/>
    <m/>
    <e v="#N/A"/>
  </r>
  <r>
    <n v="0"/>
    <n v="142"/>
    <s v="FABIND9INRDZI"/>
    <x v="5"/>
    <s v="I"/>
    <s v="FI2627000223"/>
    <d v="2026-04-29T00:00:00"/>
    <s v="INR"/>
    <n v="2540071.7799999998"/>
    <d v="2026-06-08T00:00:00"/>
    <d v="2026-04-30T00:00:00"/>
    <d v="2026-06-28T00:00:00"/>
    <s v="808"/>
    <d v="2026-04-29T00:00:00"/>
    <m/>
    <m/>
    <s v="C1-C90X15X15X2-2849.62L -E350 HDG_Avaada"/>
    <n v="2286064.602"/>
    <n v="7.6999999999999999E-2"/>
    <n v="59"/>
    <n v="28454"/>
    <n v="2257610.602"/>
    <m/>
    <m/>
    <m/>
    <m/>
    <m/>
    <m/>
    <e v="#N/A"/>
  </r>
  <r>
    <n v="0"/>
    <n v="143"/>
    <s v="FABIND9INRDZI"/>
    <x v="5"/>
    <s v="I"/>
    <s v="FI2627000224"/>
    <d v="2026-04-29T00:00:00"/>
    <s v="INR"/>
    <n v="3071177.69"/>
    <d v="2026-06-08T00:00:00"/>
    <d v="2026-04-30T00:00:00"/>
    <d v="2026-06-28T00:00:00"/>
    <s v="10071"/>
    <d v="2026-04-29T00:00:00"/>
    <m/>
    <m/>
    <s v="C1-C90X15X15X2-2849.62L -E350 HDG_Avaada"/>
    <n v="2764059.9210000001"/>
    <n v="7.6999999999999999E-2"/>
    <n v="59"/>
    <n v="34403"/>
    <n v="2729656.9210000001"/>
    <m/>
    <m/>
    <m/>
    <m/>
    <m/>
    <m/>
    <e v="#N/A"/>
  </r>
  <r>
    <n v="0"/>
    <n v="144"/>
    <s v="FABIND9INRDZI"/>
    <x v="5"/>
    <s v="I"/>
    <s v="FI2627000226"/>
    <d v="2026-04-29T00:00:00"/>
    <s v="INR"/>
    <n v="2955719.88"/>
    <d v="2026-06-08T00:00:00"/>
    <d v="2026-04-30T00:00:00"/>
    <d v="2026-06-28T00:00:00"/>
    <s v="78532"/>
    <d v="2026-04-29T00:00:00"/>
    <m/>
    <m/>
    <s v="C1-C90X15X15X2-2849.62L -E350 HDG_Avaada"/>
    <n v="2660147.892"/>
    <n v="7.6999999999999999E-2"/>
    <n v="59"/>
    <n v="33110"/>
    <n v="2627037.892"/>
    <m/>
    <m/>
    <m/>
    <m/>
    <m/>
    <m/>
    <e v="#N/A"/>
  </r>
  <r>
    <n v="0"/>
    <n v="145"/>
    <s v="FABIND9INRDZI"/>
    <x v="5"/>
    <s v="I"/>
    <s v="FI2627000227"/>
    <d v="2026-04-29T00:00:00"/>
    <s v="INR"/>
    <n v="2911461.06"/>
    <d v="2026-06-08T00:00:00"/>
    <d v="2026-04-30T00:00:00"/>
    <d v="2026-06-28T00:00:00"/>
    <s v="58654"/>
    <d v="2026-04-29T00:00:00"/>
    <m/>
    <m/>
    <s v="C1-C90X15X15X2-2849.62L -E350 HDG_Avaada"/>
    <n v="2620314.9539999999"/>
    <n v="7.6999999999999999E-2"/>
    <n v="59"/>
    <n v="32614"/>
    <n v="2587700.9539999999"/>
    <m/>
    <m/>
    <m/>
    <m/>
    <m/>
    <m/>
    <e v="#N/A"/>
  </r>
  <r>
    <n v="0"/>
    <n v="146"/>
    <s v="FABIND9INRDZI"/>
    <x v="5"/>
    <s v="I"/>
    <s v="FI2627000228"/>
    <d v="2026-04-29T00:00:00"/>
    <s v="INR"/>
    <n v="2976887.15"/>
    <d v="2026-06-08T00:00:00"/>
    <d v="2026-04-30T00:00:00"/>
    <d v="2026-06-28T00:00:00"/>
    <s v="78533"/>
    <d v="2026-04-29T00:00:00"/>
    <m/>
    <m/>
    <s v="C1-C90X15X15X2-2849.62L -E350 HDG_Avaada"/>
    <n v="2679198.4350000001"/>
    <n v="7.6999999999999999E-2"/>
    <n v="59"/>
    <n v="33347"/>
    <n v="2645851.4350000001"/>
    <m/>
    <m/>
    <m/>
    <m/>
    <m/>
    <m/>
    <e v="#N/A"/>
  </r>
  <r>
    <n v="0"/>
    <n v="147"/>
    <s v="FABIND9INRDZI"/>
    <x v="2"/>
    <s v="I"/>
    <s v="FI2627000229"/>
    <d v="2026-04-29T00:00:00"/>
    <s v="INR"/>
    <n v="766484.34"/>
    <d v="2026-06-12T00:00:00"/>
    <d v="2026-04-30T00:00:00"/>
    <d v="2026-07-02T00:00:00"/>
    <s v="2000146317"/>
    <d v="2026-04-29T00:00:00"/>
    <m/>
    <m/>
    <s v="TOWER12A TUBULR3 LEG W PLT &amp; FNCE-FAB"/>
    <n v="689835.90599999996"/>
    <n v="7.6999999999999999E-2"/>
    <n v="63"/>
    <n v="9168"/>
    <n v="680667.90599999996"/>
    <m/>
    <m/>
    <m/>
    <m/>
    <m/>
    <m/>
    <n v="219233515.66"/>
  </r>
  <r>
    <n v="0"/>
    <n v="148"/>
    <s v="FABIND9INRDZI"/>
    <x v="2"/>
    <s v="I"/>
    <s v="FI2627000233"/>
    <d v="2026-04-29T00:00:00"/>
    <s v="INR"/>
    <n v="1151810.98"/>
    <d v="2026-06-12T00:00:00"/>
    <d v="2026-04-30T00:00:00"/>
    <d v="2026-07-02T00:00:00"/>
    <s v="2000146316"/>
    <d v="2026-04-29T00:00:00"/>
    <m/>
    <m/>
    <s v="GBT60M11A-STR439M/STUBLR3L W FENCE"/>
    <n v="1036629.882"/>
    <n v="7.6999999999999999E-2"/>
    <n v="63"/>
    <n v="13777"/>
    <n v="1022852.882"/>
    <m/>
    <m/>
    <m/>
    <m/>
    <m/>
    <m/>
    <n v="218848189.02000001"/>
  </r>
  <r>
    <n v="0"/>
    <n v="149"/>
    <s v="FABIND9INRDZI"/>
    <x v="2"/>
    <s v="I"/>
    <s v="FI2627000236"/>
    <d v="2026-04-29T00:00:00"/>
    <s v="INR"/>
    <n v="937604.4"/>
    <d v="2026-06-12T00:00:00"/>
    <d v="2026-04-30T00:00:00"/>
    <d v="2026-07-02T00:00:00"/>
    <s v="2000146318"/>
    <d v="2026-04-29T00:00:00"/>
    <m/>
    <m/>
    <s v="CIP for 12/18 Panel Structure_New Design"/>
    <n v="843843.96000000008"/>
    <n v="7.6999999999999999E-2"/>
    <n v="63"/>
    <n v="11215"/>
    <n v="832628.96000000008"/>
    <m/>
    <m/>
    <m/>
    <m/>
    <m/>
    <m/>
    <n v="219062395.59999999"/>
  </r>
  <r>
    <n v="0"/>
    <n v="150"/>
    <s v="FABIND9INRDZI"/>
    <x v="5"/>
    <s v="I"/>
    <s v="FI2627000237"/>
    <d v="2026-04-29T00:00:00"/>
    <s v="INR"/>
    <n v="2909536.76"/>
    <d v="2026-06-08T00:00:00"/>
    <d v="2026-04-30T00:00:00"/>
    <d v="2026-06-28T00:00:00"/>
    <s v="817"/>
    <d v="2026-04-29T00:00:00"/>
    <m/>
    <m/>
    <s v="C1-C90X15X15X2-2849.62L -E350 HDG_Avaada"/>
    <n v="2618583.0839999998"/>
    <n v="7.6999999999999999E-2"/>
    <n v="59"/>
    <n v="32592"/>
    <n v="2585991.0839999998"/>
    <m/>
    <m/>
    <m/>
    <m/>
    <m/>
    <m/>
    <e v="#N/A"/>
  </r>
  <r>
    <n v="0"/>
    <n v="151"/>
    <s v="FABIND9INRDZI"/>
    <x v="1"/>
    <s v="I"/>
    <s v="FI2627000238"/>
    <d v="2026-04-29T00:00:00"/>
    <s v="INR"/>
    <n v="684578.18"/>
    <d v="2026-06-08T00:00:00"/>
    <d v="2026-04-30T00:00:00"/>
    <d v="2026-06-28T00:00:00"/>
    <s v="10077"/>
    <d v="2026-04-29T00:00:00"/>
    <m/>
    <m/>
    <s v="TowerGBT-3 Leg Tubular VT30M 200 KMPH"/>
    <n v="616120.36200000008"/>
    <n v="7.6999999999999999E-2"/>
    <n v="59"/>
    <n v="7669"/>
    <n v="608451.36200000008"/>
    <m/>
    <m/>
    <m/>
    <m/>
    <m/>
    <m/>
    <n v="274315421.81999999"/>
  </r>
  <r>
    <n v="0"/>
    <n v="152"/>
    <s v="FABIND9INRDZI"/>
    <x v="5"/>
    <s v="I"/>
    <s v="FI2627000243"/>
    <d v="2026-04-29T00:00:00"/>
    <s v="INR"/>
    <n v="2532374.59"/>
    <d v="2026-06-08T00:00:00"/>
    <d v="2026-04-30T00:00:00"/>
    <d v="2026-06-28T00:00:00"/>
    <s v="10078"/>
    <d v="2026-04-29T00:00:00"/>
    <m/>
    <m/>
    <s v="C1-C90X15X15X2-2849.62L -E350 HDG_Avaada"/>
    <n v="2279137.1310000001"/>
    <n v="7.6999999999999999E-2"/>
    <n v="59"/>
    <n v="28367"/>
    <n v="2250770.1310000001"/>
    <m/>
    <m/>
    <m/>
    <m/>
    <m/>
    <m/>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3A74F-DA82-4884-9978-4E8053E5048B}" name="UserChart_174657_3632" cacheId="3"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chartFormat="4">
  <location ref="AL3:AM6" firstHeaderRow="1" firstDataRow="1" firstDataCol="1"/>
  <pivotFields count="29">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numFmtId="170" outline="0" showAll="0"/>
    <pivotField compact="0" numFmtId="17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0" outline="0" showAll="0"/>
    <pivotField compact="0" numFmtId="1" outline="0" showAll="0"/>
    <pivotField compact="0" numFmtId="164"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s>
  <rowFields count="1">
    <field x="3"/>
  </rowFields>
  <rowItems count="3">
    <i>
      <x/>
    </i>
    <i>
      <x v="1"/>
    </i>
    <i>
      <x v="2"/>
    </i>
  </rowItems>
  <colItems count="1">
    <i/>
  </colItems>
  <dataFields count="1">
    <dataField name="Instrument Amount " fld="8" baseField="0" baseItem="0"/>
  </dataFields>
  <chartFormats count="1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1" format="6"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3" count="1" selected="0">
            <x v="0"/>
          </reference>
        </references>
      </pivotArea>
    </chartFormat>
    <chartFormat chart="1" format="9">
      <pivotArea type="data" outline="0" fieldPosition="0">
        <references count="2">
          <reference field="4294967294" count="1" selected="0">
            <x v="0"/>
          </reference>
          <reference field="3" count="1" selected="0">
            <x v="1"/>
          </reference>
        </references>
      </pivotArea>
    </chartFormat>
    <chartFormat chart="1" format="10">
      <pivotArea type="data" outline="0" fieldPosition="0">
        <references count="2">
          <reference field="4294967294" count="1" selected="0">
            <x v="0"/>
          </reference>
          <reference field="3"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3" count="1" selected="0">
            <x v="0"/>
          </reference>
        </references>
      </pivotArea>
    </chartFormat>
    <chartFormat chart="2" format="15">
      <pivotArea type="data" outline="0" fieldPosition="0">
        <references count="2">
          <reference field="4294967294" count="1" selected="0">
            <x v="0"/>
          </reference>
          <reference field="3" count="1" selected="0">
            <x v="1"/>
          </reference>
        </references>
      </pivotArea>
    </chartFormat>
    <chartFormat chart="2"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B044BD-E318-46A4-B1C4-7273E6B2015C}" name="UserChart_174633_550" cacheId="4"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chartFormat="4">
  <location ref="AG3:AH7" firstHeaderRow="1" firstDataRow="1" firstDataCol="1"/>
  <pivotFields count="29">
    <pivotField compact="0" outline="0" showAll="0"/>
    <pivotField compact="0" outline="0" showAll="0"/>
    <pivotField compact="0" outline="0" showAll="0"/>
    <pivotField axis="axisRow" compact="0" outline="0" showAll="0">
      <items count="6">
        <item x="0"/>
        <item x="1"/>
        <item x="2"/>
        <item x="3"/>
        <item m="1"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
    <i>
      <x/>
    </i>
    <i>
      <x v="1"/>
    </i>
    <i>
      <x v="2"/>
    </i>
    <i>
      <x v="3"/>
    </i>
  </rowItems>
  <colItems count="1">
    <i/>
  </colItems>
  <dataFields count="1">
    <dataField name="Instrument Amoun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AF30B8-EDF9-4542-9068-5E7624E40AA2}" name="UserKPI_173848_3223" cacheId="6"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location ref="B3:B4" firstHeaderRow="1" firstDataRow="1" firstDataCol="0"/>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Instrument Amount " fld="8" baseField="0" baseItem="0" numFmtId="171"/>
  </dataFields>
  <formats count="1">
    <format dxfId="1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681BBD-52BE-4432-9A07-BB5B6D643C2D}" name="UserChart_174041_6799" cacheId="3"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chartFormat="5">
  <location ref="J3:K6" firstHeaderRow="1" firstDataRow="1" firstDataCol="1"/>
  <pivotFields count="29">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numFmtId="170" outline="0" showAll="0"/>
    <pivotField compact="0" numFmtId="17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0" outline="0" showAll="0"/>
    <pivotField compact="0" numFmtId="1" outline="0" showAll="0"/>
    <pivotField compact="0" numFmtId="164"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s>
  <rowFields count="1">
    <field x="3"/>
  </rowFields>
  <rowItems count="3">
    <i>
      <x/>
    </i>
    <i>
      <x v="1"/>
    </i>
    <i>
      <x v="2"/>
    </i>
  </rowItems>
  <colItems count="1">
    <i/>
  </colItems>
  <dataFields count="1">
    <dataField name="Instrument Amount "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603DEF-D748-428D-81C5-1893D9131CF5}" name="UserKPI_173924_5493" cacheId="7"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location ref="F3:F4" firstHeaderRow="1" firstDataRow="1" firstDataCol="0"/>
  <pivotFields count="29">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Debtor Code " fld="3" baseField="0" baseItem="0" numFmtId="171"/>
  </dataFields>
  <formats count="1">
    <format dxfId="1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8C86A-F5F2-44B9-9F23-E16F67DCC73D}" name="UserChart_174415_976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B3:AC10" firstHeaderRow="1" firstDataRow="1" firstDataCol="1"/>
  <pivotFields count="29">
    <pivotField compact="0" outline="0" showAll="0"/>
    <pivotField compact="0" outline="0" showAll="0"/>
    <pivotField compact="0" outline="0" showAll="0"/>
    <pivotField axis="axisRow" compact="0" outline="0" showAll="0">
      <items count="8">
        <item x="1"/>
        <item x="2"/>
        <item x="3"/>
        <item x="0"/>
        <item x="4"/>
        <item x="5"/>
        <item x="6"/>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5"/>
    </i>
    <i>
      <x v="6"/>
    </i>
  </rowItems>
  <colItems count="1">
    <i/>
  </colItems>
  <dataFields count="1">
    <dataField name="Instrument Amount "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C85230-4393-47C5-94BB-A92CB8B66A73}" name="UserChart_174229_8705" cacheId="1"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chartFormat="1">
  <location ref="W3:X54" firstHeaderRow="1" firstDataRow="1" firstDataCol="1"/>
  <pivotFields count="29">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54">
        <item x="43"/>
        <item x="8"/>
        <item x="40"/>
        <item x="48"/>
        <item x="5"/>
        <item x="44"/>
        <item x="45"/>
        <item x="2"/>
        <item x="46"/>
        <item x="14"/>
        <item x="11"/>
        <item x="10"/>
        <item x="1"/>
        <item x="6"/>
        <item x="9"/>
        <item x="13"/>
        <item x="4"/>
        <item x="47"/>
        <item x="3"/>
        <item x="22"/>
        <item x="7"/>
        <item x="21"/>
        <item x="15"/>
        <item x="12"/>
        <item x="23"/>
        <item m="1" x="52"/>
        <item x="0"/>
        <item x="16"/>
        <item x="20"/>
        <item x="24"/>
        <item x="25"/>
        <item x="27"/>
        <item x="28"/>
        <item x="29"/>
        <item x="30"/>
        <item x="31"/>
        <item x="32"/>
        <item x="33"/>
        <item x="34"/>
        <item x="35"/>
        <item x="36"/>
        <item x="37"/>
        <item x="38"/>
        <item x="39"/>
        <item x="41"/>
        <item x="42"/>
        <item x="49"/>
        <item x="50"/>
        <item m="1" x="51"/>
        <item x="17"/>
        <item x="18"/>
        <item x="19"/>
        <item x="2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51">
    <i>
      <x/>
    </i>
    <i>
      <x v="1"/>
    </i>
    <i>
      <x v="2"/>
    </i>
    <i>
      <x v="3"/>
    </i>
    <i>
      <x v="4"/>
    </i>
    <i>
      <x v="5"/>
    </i>
    <i>
      <x v="6"/>
    </i>
    <i>
      <x v="7"/>
    </i>
    <i>
      <x v="8"/>
    </i>
    <i>
      <x v="9"/>
    </i>
    <i>
      <x v="10"/>
    </i>
    <i>
      <x v="11"/>
    </i>
    <i>
      <x v="12"/>
    </i>
    <i>
      <x v="13"/>
    </i>
    <i>
      <x v="14"/>
    </i>
    <i>
      <x v="15"/>
    </i>
    <i>
      <x v="16"/>
    </i>
    <i>
      <x v="17"/>
    </i>
    <i>
      <x v="18"/>
    </i>
    <i>
      <x v="19"/>
    </i>
    <i>
      <x v="20"/>
    </i>
    <i>
      <x v="21"/>
    </i>
    <i>
      <x v="22"/>
    </i>
    <i>
      <x v="23"/>
    </i>
    <i>
      <x v="24"/>
    </i>
    <i>
      <x v="26"/>
    </i>
    <i>
      <x v="27"/>
    </i>
    <i>
      <x v="28"/>
    </i>
    <i>
      <x v="29"/>
    </i>
    <i>
      <x v="30"/>
    </i>
    <i>
      <x v="31"/>
    </i>
    <i>
      <x v="32"/>
    </i>
    <i>
      <x v="33"/>
    </i>
    <i>
      <x v="34"/>
    </i>
    <i>
      <x v="35"/>
    </i>
    <i>
      <x v="36"/>
    </i>
    <i>
      <x v="37"/>
    </i>
    <i>
      <x v="38"/>
    </i>
    <i>
      <x v="39"/>
    </i>
    <i>
      <x v="40"/>
    </i>
    <i>
      <x v="41"/>
    </i>
    <i>
      <x v="42"/>
    </i>
    <i>
      <x v="43"/>
    </i>
    <i>
      <x v="44"/>
    </i>
    <i>
      <x v="45"/>
    </i>
    <i>
      <x v="46"/>
    </i>
    <i>
      <x v="47"/>
    </i>
    <i>
      <x v="49"/>
    </i>
    <i>
      <x v="50"/>
    </i>
    <i>
      <x v="51"/>
    </i>
    <i>
      <x v="52"/>
    </i>
  </rowItems>
  <colItems count="1">
    <i/>
  </colItems>
  <dataFields count="1">
    <dataField name="Debtor Code "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8F7514-A0C0-47CC-935D-963029F4177E}" name="UserChart_174221_6868" cacheId="0"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location ref="S3:S54" firstHeaderRow="1" firstDataRow="1"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4">
        <item x="43"/>
        <item x="8"/>
        <item x="40"/>
        <item x="48"/>
        <item x="5"/>
        <item x="44"/>
        <item x="45"/>
        <item x="2"/>
        <item x="46"/>
        <item x="14"/>
        <item x="11"/>
        <item x="10"/>
        <item x="1"/>
        <item x="6"/>
        <item x="9"/>
        <item x="13"/>
        <item x="4"/>
        <item x="47"/>
        <item x="3"/>
        <item x="22"/>
        <item x="7"/>
        <item x="21"/>
        <item x="15"/>
        <item x="12"/>
        <item x="23"/>
        <item m="1" x="52"/>
        <item x="0"/>
        <item x="16"/>
        <item x="20"/>
        <item x="24"/>
        <item x="25"/>
        <item x="27"/>
        <item x="28"/>
        <item x="29"/>
        <item x="30"/>
        <item x="31"/>
        <item x="32"/>
        <item x="33"/>
        <item x="34"/>
        <item x="35"/>
        <item x="36"/>
        <item x="37"/>
        <item x="38"/>
        <item x="39"/>
        <item x="41"/>
        <item x="42"/>
        <item x="49"/>
        <item x="50"/>
        <item m="1" x="51"/>
        <item x="17"/>
        <item x="18"/>
        <item x="19"/>
        <item x="2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51">
    <i>
      <x/>
    </i>
    <i>
      <x v="1"/>
    </i>
    <i>
      <x v="2"/>
    </i>
    <i>
      <x v="3"/>
    </i>
    <i>
      <x v="4"/>
    </i>
    <i>
      <x v="5"/>
    </i>
    <i>
      <x v="6"/>
    </i>
    <i>
      <x v="7"/>
    </i>
    <i>
      <x v="8"/>
    </i>
    <i>
      <x v="9"/>
    </i>
    <i>
      <x v="10"/>
    </i>
    <i>
      <x v="11"/>
    </i>
    <i>
      <x v="12"/>
    </i>
    <i>
      <x v="13"/>
    </i>
    <i>
      <x v="14"/>
    </i>
    <i>
      <x v="15"/>
    </i>
    <i>
      <x v="16"/>
    </i>
    <i>
      <x v="17"/>
    </i>
    <i>
      <x v="18"/>
    </i>
    <i>
      <x v="19"/>
    </i>
    <i>
      <x v="20"/>
    </i>
    <i>
      <x v="21"/>
    </i>
    <i>
      <x v="22"/>
    </i>
    <i>
      <x v="23"/>
    </i>
    <i>
      <x v="24"/>
    </i>
    <i>
      <x v="26"/>
    </i>
    <i>
      <x v="27"/>
    </i>
    <i>
      <x v="28"/>
    </i>
    <i>
      <x v="29"/>
    </i>
    <i>
      <x v="30"/>
    </i>
    <i>
      <x v="31"/>
    </i>
    <i>
      <x v="32"/>
    </i>
    <i>
      <x v="33"/>
    </i>
    <i>
      <x v="34"/>
    </i>
    <i>
      <x v="35"/>
    </i>
    <i>
      <x v="36"/>
    </i>
    <i>
      <x v="37"/>
    </i>
    <i>
      <x v="38"/>
    </i>
    <i>
      <x v="39"/>
    </i>
    <i>
      <x v="40"/>
    </i>
    <i>
      <x v="41"/>
    </i>
    <i>
      <x v="42"/>
    </i>
    <i>
      <x v="43"/>
    </i>
    <i>
      <x v="44"/>
    </i>
    <i>
      <x v="45"/>
    </i>
    <i>
      <x v="46"/>
    </i>
    <i>
      <x v="47"/>
    </i>
    <i>
      <x v="49"/>
    </i>
    <i>
      <x v="50"/>
    </i>
    <i>
      <x v="51"/>
    </i>
    <i>
      <x v="5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C7FE99-D263-49F6-AE29-96FD20D3D3FA}" name="UserChart_175107_8718" cacheId="2"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chartFormat="1">
  <location ref="AQ3:AR7" firstHeaderRow="1" firstDataRow="1" firstDataCol="1"/>
  <pivotFields count="29">
    <pivotField compact="0" outline="0" showAll="0"/>
    <pivotField compact="0" outline="0" showAll="0"/>
    <pivotField compact="0" outline="0" showAll="0"/>
    <pivotField axis="axisRow" compact="0" outline="0" showAll="0">
      <items count="6">
        <item x="0"/>
        <item x="1"/>
        <item x="2"/>
        <item x="3"/>
        <item m="1"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
    <i>
      <x/>
    </i>
    <i>
      <x v="1"/>
    </i>
    <i>
      <x v="2"/>
    </i>
    <i>
      <x v="3"/>
    </i>
  </rowItems>
  <colItems count="1">
    <i/>
  </colItems>
  <dataFields count="1">
    <dataField name="Instrument Amoun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D2C396-F0A8-4ECB-95FE-EA258409036B}" name="UserChart_174208_2829" cacheId="5" applyNumberFormats="0" applyBorderFormats="0" applyFontFormats="0" applyPatternFormats="0" applyAlignmentFormats="0" applyWidthHeightFormats="1" dataCaption="Values" updatedVersion="8" minRefreshableVersion="3" asteriskTotals="1" useAutoFormatting="1" rowGrandTotals="0" colGrandTotals="0" itemPrintTitles="1" createdVersion="8" indent="0" compact="0" compactData="0" multipleFieldFilters="0">
  <location ref="O3:O7" firstHeaderRow="1" firstDataRow="1" firstDataCol="1"/>
  <pivotFields count="29">
    <pivotField compact="0" outline="0" showAll="0"/>
    <pivotField compact="0" outline="0" showAll="0"/>
    <pivotField compact="0" outline="0" showAll="0"/>
    <pivotField axis="axisRow" compact="0" outline="0" showAll="0">
      <items count="6">
        <item x="0"/>
        <item x="1"/>
        <item x="2"/>
        <item x="3"/>
        <item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
    <i>
      <x/>
    </i>
    <i>
      <x v="1"/>
    </i>
    <i>
      <x v="2"/>
    </i>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btor_Code" xr10:uid="{AFED86DF-3249-45D0-8C1C-154000DFDE21}" sourceName="Debtor Cod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isc_Tranch" xr10:uid="{66BA515B-705C-4106-8266-F2719019B862}" sourceName="Invoice Disc Tranch">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rument_Date" xr10:uid="{03DE26C4-F7BA-4550-B7B2-7B192AB87837}" sourceName="Instrument Date">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C09BBFF8-7A20-4C9C-B129-6286C3FBA33D}" cache="Slicer_Debtor_Code" caption="Debtor Code" style="SlicerStyleLight6" rowHeight="241300"/>
  <slicer name="Invoice Disc Tranch" xr10:uid="{1CA893BB-9589-4AB3-A5B9-341097B46044}" cache="Slicer_Invoice_Disc_Tranch" caption="Invoice Disc Tranch" rowHeight="241300"/>
  <slicer name="Instrument Date" xr10:uid="{B91C3D33-9970-4EB9-89F3-8895CCB3814A}" cache="Slicer_Instrument_Date" caption="Instrument Date" startItem="3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04CB4B61-5984-4660-A0DD-1F8DB4C30C93}" cache="Slicer_Debtor_Code" caption="Debtor Code" style="SlicerStyleLight6" rowHeight="241300"/>
  <slicer name="Invoice Disc Tranch 1" xr10:uid="{33B8A88B-712E-4676-8BB5-E3262E945FB5}" cache="Slicer_Invoice_Disc_Tranch" caption="Invoice Disc Tranc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9F50A9-BF3F-4ACB-9FC8-BFA572F8EAB1}" name="Table1" displayName="Table1" ref="A2:AC259" headerRowDxfId="258" headerRowBorderDxfId="257" tableBorderDxfId="256">
  <autoFilter ref="A2:AC259" xr:uid="{049F50A9-BF3F-4ACB-9FC8-BFA572F8EAB1}"/>
  <tableColumns count="29">
    <tableColumn id="1" xr3:uid="{7E3924A5-7492-4052-B50A-F58586F5ACE3}" name="Invoice Disc Tranch" dataDxfId="255" totalsRowDxfId="254">
      <calculatedColumnFormula>SUBTOTAL(3,B$3:B3)</calculatedColumnFormula>
    </tableColumn>
    <tableColumn id="2" xr3:uid="{171F3C5B-CD6E-4C5F-898C-4FDB39CC6E68}" name="No." dataDxfId="253" totalsRowDxfId="252">
      <calculatedColumnFormula>SUBTOTAL(3,C$3:C3)</calculatedColumnFormula>
    </tableColumn>
    <tableColumn id="3" xr3:uid="{798E45EE-8DB4-4159-9A42-F0A22778D2C2}" name="Account Code" dataDxfId="251" totalsRowDxfId="250"/>
    <tableColumn id="4" xr3:uid="{A70607B6-4DB7-4FF2-9D97-C84C5177863A}" name="Debtor Code" dataDxfId="249" totalsRowDxfId="248"/>
    <tableColumn id="32" xr3:uid="{3AC5BB73-8E17-41B5-A2EF-8B62CF00DE33}" name="Instrument Type" dataDxfId="247" totalsRowDxfId="246"/>
    <tableColumn id="7" xr3:uid="{19AAB313-3DE4-4063-8F79-B552B11399A2}" name="Instrument Number" dataDxfId="245" totalsRowDxfId="244"/>
    <tableColumn id="8" xr3:uid="{D313CA16-1C40-4DE4-A2AA-3C2E786F5DAD}" name="Instrument Date" dataDxfId="243" totalsRowDxfId="242"/>
    <tableColumn id="10" xr3:uid="{3BE71FE7-C013-4343-BAB9-16E54297422D}" name="Instrument Currency" dataDxfId="241" totalsRowDxfId="240"/>
    <tableColumn id="11" xr3:uid="{8B204B26-8CA8-406F-9BF6-185240115ADA}" name="Instrument Amount" totalsRowFunction="sum" dataDxfId="239" totalsRowDxfId="238"/>
    <tableColumn id="12" xr3:uid="{60F285B9-E2C0-45FC-B4D5-B56C89AC2A15}" name="Instrument Due Date" dataDxfId="237" totalsRowDxfId="236">
      <calculatedColumnFormula array="1">_xlfn.IFS(D3="INDUSTOWER","40",D3="RELIANCEIN","44",D3="SIEMENSLTD","120",D3="CLEANMAX","40",D3="AVAADA","40",D3="ARCHTECH","40")+G3</calculatedColumnFormula>
    </tableColumn>
    <tableColumn id="35" xr3:uid="{A5B5F4D4-37E5-4333-BE9E-8350CCB153D4}" name="Disbursement Date" dataDxfId="235" totalsRowDxfId="234"/>
    <tableColumn id="34" xr3:uid="{47387093-0754-491B-B5B7-003E76E6D8F5}" name="Maturity Date" dataDxfId="233" totalsRowDxfId="232">
      <calculatedColumnFormula>+J3+20</calculatedColumnFormula>
    </tableColumn>
    <tableColumn id="13" xr3:uid="{50926E8D-6217-47A9-BB22-37C33F919844}" name="Transport Document Reference Number" dataDxfId="231" totalsRowDxfId="230"/>
    <tableColumn id="14" xr3:uid="{82401739-C2A8-4FF8-9891-287F614E52BF}" name="Transport Document Date" dataDxfId="229" totalsRowDxfId="228">
      <calculatedColumnFormula>+G3</calculatedColumnFormula>
    </tableColumn>
    <tableColumn id="36" xr3:uid="{BD8B32C4-B007-4F58-8BFE-FC8B9CF2BBD9}" name="Port of Loading" dataDxfId="227" totalsRowDxfId="226"/>
    <tableColumn id="15" xr3:uid="{DE995F38-211B-4F4E-B836-F11FB89D3CF3}" name="Port of discharge" dataDxfId="225" totalsRowDxfId="224"/>
    <tableColumn id="16" xr3:uid="{63696B65-8019-4F85-BD6A-04D4A2061267}" name="Goods Descriptions" dataDxfId="223" totalsRowDxfId="222" dataCellStyle="Comma"/>
    <tableColumn id="17" xr3:uid="{4E640225-760C-437A-8D78-7CB6FA86BB53}" name="DBS bank Accepted amount" totalsRowFunction="sum" dataDxfId="221" totalsRowDxfId="220" dataCellStyle="Comma">
      <calculatedColumnFormula>+I3*0.9</calculatedColumnFormula>
    </tableColumn>
    <tableColumn id="19" xr3:uid="{16551404-F901-4B96-B353-98CBD66BD588}" name="Int Rate" dataDxfId="219" totalsRowDxfId="218"/>
    <tableColumn id="20" xr3:uid="{59A50422-4C4A-4FDF-8131-BE0A31727281}" name="No of days discount" dataDxfId="217" totalsRowDxfId="216" dataCellStyle="Comma">
      <calculatedColumnFormula>+J3-K3+20</calculatedColumnFormula>
    </tableColumn>
    <tableColumn id="21" xr3:uid="{90A60DEF-8242-46E4-8E08-91238048727C}" name="Disc Interest" dataDxfId="215" totalsRowDxfId="214">
      <calculatedColumnFormula>ROUND(+R3*S3*T3/365,0)</calculatedColumnFormula>
    </tableColumn>
    <tableColumn id="22" xr3:uid="{B0F46CF9-7D32-4857-815A-E5AD7EFF673C}" name="Disbursment" dataDxfId="213" totalsRowDxfId="212">
      <calculatedColumnFormula>+R3-U3</calculatedColumnFormula>
    </tableColumn>
    <tableColumn id="23" xr3:uid="{1618D7C8-778D-4468-BE07-D9AE5AAB95E3}" name="Repayment Date" dataDxfId="211" totalsRowDxfId="210"/>
    <tableColumn id="24" xr3:uid="{F5B4BC78-08EA-413A-B4FB-9DBDBB5C54BE}" name="Repayment Lot" dataDxfId="209" totalsRowDxfId="208"/>
    <tableColumn id="25" xr3:uid="{85D9F1AD-AFCB-4982-8F11-9F79DA68B5FB}" name="Repayment amount" dataDxfId="207" totalsRowDxfId="206" dataCellStyle="Comma"/>
    <tableColumn id="26" xr3:uid="{8C1D9CCD-256C-47B5-B3F5-352CA0E125F3}" name="Balance payable/ Refund" dataDxfId="205" totalsRowDxfId="204" dataCellStyle="Comma"/>
    <tableColumn id="27" xr3:uid="{FC32104D-0818-4230-93F2-F53A7BA8B9ED}" name="Prepayment days" dataDxfId="203" totalsRowDxfId="202" dataCellStyle="Comma"/>
    <tableColumn id="28" xr3:uid="{538C85DF-A62E-4E8D-A2B7-EBBE302BF166}" name="Interest reversal " dataDxfId="201" totalsRowDxfId="200" dataCellStyle="Comma"/>
    <tableColumn id="29" xr3:uid="{2B0BA753-2B7B-4CBD-9786-FD7EB9E90C2C}" name="Available Balance" dataDxfId="199" totalsRowDxfId="198">
      <calculatedColumnFormula array="1">_xlfn.IFS(D3="INDUSTOWER","275000000",D3="RELIANCEIN","220000000",D3="SIEMENSLTD","83330000")-I3</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CC1E0F-5353-4DEC-A49F-EDA3468AA13F}" name="Table2" displayName="Table2" ref="A1:AV30" totalsRowCount="1" headerRowDxfId="195" headerRowBorderDxfId="194" tableBorderDxfId="193" totalsRowBorderDxfId="192" headerRowCellStyle="Comma">
  <autoFilter ref="A1:AV29" xr:uid="{3BCC1E0F-5353-4DEC-A49F-EDA3468AA13F}">
    <filterColumn colId="2">
      <filters>
        <filter val="77489"/>
      </filters>
    </filterColumn>
  </autoFilter>
  <tableColumns count="48">
    <tableColumn id="1" xr3:uid="{E9C95DB7-D737-4F60-933A-56A4B7E3B1DF}" name="LOT" dataDxfId="191" totalsRowDxfId="190" dataCellStyle="Accent5"/>
    <tableColumn id="2" xr3:uid="{33F2DB35-4A95-455F-BD2E-1B86630A5EB2}" name="Debtor Code" dataDxfId="189" totalsRowDxfId="188" dataCellStyle="Accent5"/>
    <tableColumn id="3" xr3:uid="{978A0A25-76C1-410A-9638-74EAC2E04188}" name="PO #" dataDxfId="187" totalsRowDxfId="186"/>
    <tableColumn id="4" xr3:uid="{3CE9970A-FB1F-460F-8AC2-F74BB7ABB249}" name="PCFC with" dataDxfId="185" totalsRowDxfId="184"/>
    <tableColumn id="5" xr3:uid="{CC79430A-32C9-43CE-BA39-D76858005C6B}" name="Inv No" dataDxfId="183" totalsRowDxfId="182" dataCellStyle="Accent5"/>
    <tableColumn id="6" xr3:uid="{592CB2F4-2BC8-47BA-AAE7-F8F717DE8889}" name="Project" dataDxfId="181" totalsRowDxfId="180"/>
    <tableColumn id="7" xr3:uid="{14796F96-EF2F-4171-BE72-8E71DE002E3D}" name="Product" dataDxfId="179" totalsRowDxfId="178" dataCellStyle="Accent5"/>
    <tableColumn id="8" xr3:uid="{9D559EDB-830E-4B1D-8DDF-702E5168BBF5}" name="Inv Date" dataDxfId="177" totalsRowDxfId="176" dataCellStyle="Accent5"/>
    <tableColumn id="9" xr3:uid="{B87EE3AD-E6CC-44D5-8276-F9E29D84DB0C}" name=" Original Inv Amt in USD" totalsRowFunction="sum" dataDxfId="175" totalsRowDxfId="174" dataCellStyle="Comma"/>
    <tableColumn id="10" xr3:uid="{D8BE6CF9-0D3F-4D59-9408-B5F6A68FCF73}" name="Disc" dataDxfId="173" totalsRowDxfId="172" dataCellStyle="Accent5"/>
    <tableColumn id="11" xr3:uid="{6016D99A-AAB3-46D6-A881-7B37B73978B2}" name="Inv Amt in USD for Discounting" totalsRowFunction="sum" dataDxfId="171" totalsRowDxfId="170" dataCellStyle="Accent5"/>
    <tableColumn id="12" xr3:uid="{B7F4CAB0-BF94-424E-A7BF-BB5A25073313}" name="USD Rate as Per INV" dataDxfId="169" totalsRowDxfId="168" dataCellStyle="Accent5"/>
    <tableColumn id="13" xr3:uid="{C5F72721-5289-426A-9F0C-F5450A16B7AA}" name=" Original Inv Amt in INR" totalsRowFunction="custom" dataDxfId="167" totalsRowDxfId="166" dataCellStyle="Accent5">
      <totalsRowFormula>+M28-M29</totalsRowFormula>
    </tableColumn>
    <tableColumn id="14" xr3:uid="{E95E532E-74EA-442B-A6EF-04C4FB4632AF}" name="Inv Amt in INR for Discounting" dataDxfId="165" totalsRowDxfId="164" dataCellStyle="Accent5"/>
    <tableColumn id="15" xr3:uid="{AE6F3FF3-33EB-44A4-B2A6-CEA49BC392BC}" name="INV Due Date " dataDxfId="163" totalsRowDxfId="162" dataCellStyle="Accent5"/>
    <tableColumn id="16" xr3:uid="{A95C40D5-BB5A-4AF0-9D28-5C48DFEB0F2B}" name="SB No" dataDxfId="161" totalsRowDxfId="160" dataCellStyle="Accent5"/>
    <tableColumn id="17" xr3:uid="{A1B9F37C-4F81-4703-A587-0C1FBF3DA1B3}" name="SB Date" dataDxfId="159" totalsRowDxfId="158" dataCellStyle="Accent5"/>
    <tableColumn id="18" xr3:uid="{81501590-7AB2-4C90-A7AE-A3B3507A30ED}" name="BL No." dataDxfId="157" totalsRowDxfId="156" dataCellStyle="Hyperlink"/>
    <tableColumn id="19" xr3:uid="{659B3674-3DDC-48A3-A57D-BC37B41E2740}" name="BL Date" dataDxfId="155" totalsRowDxfId="154" dataCellStyle="Accent5"/>
    <tableColumn id="20" xr3:uid="{7CEC370C-E227-4CCE-89D4-A4B5A0859214}" name="Disbursement Date" dataDxfId="153" totalsRowDxfId="152" dataCellStyle="Accent5"/>
    <tableColumn id="21" xr3:uid="{5AD11D2E-864F-48CE-BEE4-6CF1572BF7E4}" name="Maturity Date" dataDxfId="151" totalsRowDxfId="150" dataCellStyle="Accent5"/>
    <tableColumn id="22" xr3:uid="{8C12FB8C-9179-4DC9-A6C1-D12B01D29AB8}" name="DBS bank Accepted amount (USD)" dataDxfId="149" totalsRowDxfId="148" dataCellStyle="Accent5"/>
    <tableColumn id="23" xr3:uid="{D11295BF-C1D9-4DE7-99E9-692C63653F98}" name="DBS bank Accepted amount (INR)" dataDxfId="147" totalsRowDxfId="146" dataCellStyle="Accent5"/>
    <tableColumn id="24" xr3:uid="{AD367DD0-78F5-4AF9-BD7A-F0E30CD8BBE9}" name="Amt held by DBS (USD)" dataDxfId="145" totalsRowDxfId="144" dataCellStyle="Accent5"/>
    <tableColumn id="25" xr3:uid="{B215A362-6D92-4A8E-820D-F4461F2741EF}" name="Int Rate" dataDxfId="143" totalsRowDxfId="142" dataCellStyle="Accent5"/>
    <tableColumn id="26" xr3:uid="{AD0260B8-F01E-4DBB-9A67-86AC0198A17A}" name="No of days discount" dataDxfId="141" totalsRowDxfId="140" dataCellStyle="Accent5"/>
    <tableColumn id="27" xr3:uid="{6732DDD7-C989-42AD-B796-7BBC93C745E7}" name="Disc Interest (USD)" dataDxfId="139" totalsRowDxfId="138" dataCellStyle="Accent5"/>
    <tableColumn id="28" xr3:uid="{D496F265-762E-461A-A645-BFEC81FC4764}" name="Disc Interest (INR)" dataDxfId="137" totalsRowDxfId="136" dataCellStyle="Comma"/>
    <tableColumn id="29" xr3:uid="{354AD990-CB7F-4D1F-814F-48D46B911A9D}" name="Disbursment (USD)" dataDxfId="135" totalsRowDxfId="134" dataCellStyle="Accent5"/>
    <tableColumn id="30" xr3:uid="{1A9E6479-3B5D-4837-880E-C4DD204D5845}" name="Disbursement Exch Rate" dataDxfId="133" totalsRowDxfId="132" dataCellStyle="Accent5"/>
    <tableColumn id="31" xr3:uid="{86A642FB-8076-4DD1-AB2A-AF713F950EBC}" name="Disbursment (INR)" dataDxfId="131" totalsRowDxfId="130" dataCellStyle="Accent5"/>
    <tableColumn id="32" xr3:uid="{8CFDB11D-4471-46DF-BA64-3DED40D24405}" name="Interest Subvention Rate" dataDxfId="129" totalsRowDxfId="128" dataCellStyle="Percent"/>
    <tableColumn id="33" xr3:uid="{3BC33955-23CA-4E7D-928F-FC507E204857}" name="Interest Subvention Amount" dataDxfId="127" totalsRowDxfId="126" dataCellStyle="Accent5"/>
    <tableColumn id="34" xr3:uid="{E810A749-9F41-4248-8AB4-B5083FD6C800}" name="Interest Subvention receipt date" dataDxfId="125" totalsRowDxfId="124" dataCellStyle="Accent5"/>
    <tableColumn id="35" xr3:uid="{AF3120F5-B3B1-4E32-82EF-85C2A3F14252}" name="Invoice due date as per BL" dataDxfId="123" totalsRowDxfId="122" dataCellStyle="Accent5"/>
    <tableColumn id="36" xr3:uid="{BEE072AE-4CF9-4D64-8CD1-B6C31339EF7A}" name="Receipt Date" dataDxfId="121" totalsRowDxfId="120" dataCellStyle="Accent5"/>
    <tableColumn id="37" xr3:uid="{ACB194F2-28F9-4030-8BD5-EC32E9EE7FC6}" name="delay in no. of days" dataDxfId="119" totalsRowDxfId="118" dataCellStyle="Accent5"/>
    <tableColumn id="38" xr3:uid="{93BA719D-2C33-4DA8-87BE-A7BD1B7CB7FF}" name="Receipt Amount USD" dataDxfId="117" totalsRowDxfId="116" dataCellStyle="Hyperlink">
      <calculatedColumnFormula>+Table2[[#This Row],[Inv Amt in USD for Discounting]]</calculatedColumnFormula>
    </tableColumn>
    <tableColumn id="39" xr3:uid="{2F71CFCB-0A3B-4865-99FB-1CC06634353E}" name="Conversion Rate for receipt (USD/INR)" dataDxfId="115" totalsRowDxfId="114" dataCellStyle="Comma"/>
    <tableColumn id="40" xr3:uid="{558FD385-3FA5-462C-8691-87E49B55B9A0}" name="Receipt in INR" dataDxfId="113" totalsRowDxfId="112" dataCellStyle="Comma">
      <calculatedColumnFormula>+Table2[[#This Row],[Receipt Amount USD]]*Table2[[#This Row],[Conversion Rate for receipt (USD/INR)]]</calculatedColumnFormula>
    </tableColumn>
    <tableColumn id="41" xr3:uid="{14029F2B-ABA5-4077-9CBA-1785ADE89EA8}" name="Repayment Date" dataDxfId="111" totalsRowDxfId="110" dataCellStyle="Accent5"/>
    <tableColumn id="42" xr3:uid="{F5FCDD05-57EF-4898-A85C-BE8EF13AECF4}" name="Repay Lot No" dataDxfId="109" totalsRowDxfId="108" dataCellStyle="Accent5"/>
    <tableColumn id="43" xr3:uid="{C4F9313B-17E5-447C-9E42-17B29A626E25}" name="Repayment amount IN INR" dataDxfId="107" totalsRowDxfId="106" dataCellStyle="Accent5">
      <calculatedColumnFormula>+Table2[[#This Row],[Receipt in INR]]</calculatedColumnFormula>
    </tableColumn>
    <tableColumn id="44" xr3:uid="{FD8EAFBF-24E8-4E65-B646-56DBEFC419E1}" name="10% Amount INR tranfer to CC" totalsRowFunction="sum" dataDxfId="105" totalsRowDxfId="104" dataCellStyle="Accent5">
      <calculatedColumnFormula>X2*AM2</calculatedColumnFormula>
    </tableColumn>
    <tableColumn id="45" xr3:uid="{8212E616-0635-4DB7-92B1-15A2954A5A3C}" name="Prepayment days" dataDxfId="103" totalsRowDxfId="102"/>
    <tableColumn id="46" xr3:uid="{BB519904-15F9-4E54-916B-22D4D6A4A424}" name="Interest reversal in INR" dataDxfId="101" totalsRowDxfId="100" dataCellStyle="Comma"/>
    <tableColumn id="47" xr3:uid="{96068035-0BFD-4022-A413-1EF947A45A38}" name="Delay in receipt days" dataDxfId="99" totalsRowDxfId="98"/>
    <tableColumn id="48" xr3:uid="{52E44582-5C41-44DD-9F10-617D8CF20205}" name="Interest USD" dataDxfId="97" totalsRow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49607A-9587-4A35-B4D8-93ABE2AFD742}" name="Table14" displayName="Table14" ref="A2:AC154" headerRowDxfId="95" headerRowBorderDxfId="94" tableBorderDxfId="93">
  <autoFilter ref="A2:AC154" xr:uid="{049F50A9-BF3F-4ACB-9FC8-BFA572F8EAB1}"/>
  <tableColumns count="29">
    <tableColumn id="1" xr3:uid="{8BB04D49-2145-4398-BF21-26037B7444D2}" name="Invoice Disc Tranch" dataDxfId="92" totalsRowDxfId="91">
      <calculatedColumnFormula>SUBTOTAL(3,B$3:B3)</calculatedColumnFormula>
    </tableColumn>
    <tableColumn id="2" xr3:uid="{724BA3E2-B4B3-45D6-89B6-8B5B611223B9}" name="No." dataDxfId="90" totalsRowDxfId="89">
      <calculatedColumnFormula>SUBTOTAL(3,C$3:C3)</calculatedColumnFormula>
    </tableColumn>
    <tableColumn id="3" xr3:uid="{187E1243-3930-4E93-85D8-6D9191BA6583}" name="Account Code" dataDxfId="88" totalsRowDxfId="87"/>
    <tableColumn id="4" xr3:uid="{6296F92E-F940-46FA-9A9B-9BE48AA0B7BF}" name="Debtor Code" dataDxfId="86" totalsRowDxfId="85"/>
    <tableColumn id="32" xr3:uid="{8F96242F-362A-48EC-8A70-CD82221E4D6A}" name="Instrument Type" dataDxfId="84" totalsRowDxfId="83"/>
    <tableColumn id="7" xr3:uid="{1E860351-9471-4837-882D-B73F5B83E3A7}" name="Instrument Number" dataDxfId="82" totalsRowDxfId="81"/>
    <tableColumn id="8" xr3:uid="{2BA2CED9-2418-4893-8B5D-F352AA06C09C}" name="Instrument Date" dataDxfId="80" totalsRowDxfId="79"/>
    <tableColumn id="10" xr3:uid="{4BEBF02B-C3F1-46C6-8035-1D0278EF1AB4}" name="Instrument Currency" dataDxfId="78" totalsRowDxfId="77"/>
    <tableColumn id="11" xr3:uid="{27A10C9F-EEA3-4652-BD2A-532EAA6A242B}" name="Instrument Amount" totalsRowFunction="sum" dataDxfId="76" totalsRowDxfId="75"/>
    <tableColumn id="12" xr3:uid="{956B3524-DE43-49D9-B25D-B1F123A6AA61}" name="Instrument Due Date" dataDxfId="74" totalsRowDxfId="73">
      <calculatedColumnFormula array="1">_xlfn.IFS(D3="INDUSTOWER","40",D3="RELIANCEIN","44",D3="SIEMENSLTD","120",D3="CLEANMAX","40",D3="AVAADA","40",D3="ARCHTECH","40")+G3</calculatedColumnFormula>
    </tableColumn>
    <tableColumn id="35" xr3:uid="{949CDDC1-1FC5-4747-A1BF-478AD22F6ABC}" name="Disbursement Date" dataDxfId="72" totalsRowDxfId="71"/>
    <tableColumn id="34" xr3:uid="{2173E6F4-38F2-4CFD-A09E-D7E05AA99FC4}" name="Maturity Date" dataDxfId="70" totalsRowDxfId="69">
      <calculatedColumnFormula>+J3+20</calculatedColumnFormula>
    </tableColumn>
    <tableColumn id="13" xr3:uid="{15819B8A-C670-471F-A0B1-AD0DE8D73964}" name="Transport Document Reference Number" dataDxfId="68" totalsRowDxfId="67"/>
    <tableColumn id="14" xr3:uid="{7B257B4F-6D3F-4ED3-9051-2755FA9A9F32}" name="Transport Document Date" dataDxfId="66" totalsRowDxfId="65">
      <calculatedColumnFormula>+G3</calculatedColumnFormula>
    </tableColumn>
    <tableColumn id="36" xr3:uid="{3860B76F-50FA-4726-A818-C979A45414B5}" name="Port of Loading" dataDxfId="64" totalsRowDxfId="63"/>
    <tableColumn id="15" xr3:uid="{9EA9C353-D17E-415E-BD3D-443695F1B2B6}" name="Port of discharge" dataDxfId="62" totalsRowDxfId="61"/>
    <tableColumn id="16" xr3:uid="{9A7E88DD-804A-4218-8C07-39D92D6EB67B}" name="Goods Descriptions" dataDxfId="60" totalsRowDxfId="59" dataCellStyle="Comma"/>
    <tableColumn id="17" xr3:uid="{82E1E398-FAAC-4CC5-8B0E-231414C4054C}" name="DBS bank Accepted amount" totalsRowFunction="sum" dataDxfId="58" totalsRowDxfId="57" dataCellStyle="Comma">
      <calculatedColumnFormula>+I3*0.9</calculatedColumnFormula>
    </tableColumn>
    <tableColumn id="19" xr3:uid="{FFE480DF-66C3-493F-8E57-D67F11339C05}" name="Int Rate" dataDxfId="56" totalsRowDxfId="55"/>
    <tableColumn id="20" xr3:uid="{88A7A4F5-0BF2-42FE-9973-B22F96652394}" name="No of days discount" dataDxfId="54" totalsRowDxfId="53" dataCellStyle="Comma">
      <calculatedColumnFormula>+J3-K3+20</calculatedColumnFormula>
    </tableColumn>
    <tableColumn id="21" xr3:uid="{DB3D4E67-DB9F-4D17-A582-38154526FF41}" name="Disc Interest" dataDxfId="52" totalsRowDxfId="51">
      <calculatedColumnFormula>ROUND(+R3*S3*T3/365,0)</calculatedColumnFormula>
    </tableColumn>
    <tableColumn id="22" xr3:uid="{70ED3C47-5B3C-43C0-8FDE-89E0029469ED}" name="Disbursment" dataDxfId="50" totalsRowDxfId="49">
      <calculatedColumnFormula>+R3-U3</calculatedColumnFormula>
    </tableColumn>
    <tableColumn id="23" xr3:uid="{E5C1E84A-B7BA-4A0D-A42D-4DDBCA4B3285}" name="Repayment Date" dataDxfId="48" totalsRowDxfId="47"/>
    <tableColumn id="24" xr3:uid="{9F2DA960-953C-4383-8919-BC0B896AFEF9}" name="Repayment Lot" dataDxfId="46" totalsRowDxfId="45"/>
    <tableColumn id="25" xr3:uid="{189734A0-DCFD-4041-A2AD-A90A988435C1}" name="Repayment amount" dataDxfId="44" totalsRowDxfId="43" dataCellStyle="Comma"/>
    <tableColumn id="26" xr3:uid="{DC7AEA3D-FCAE-4C48-A5B4-93C581551820}" name="Balance payable/ Refund" dataDxfId="42" totalsRowDxfId="41" dataCellStyle="Comma"/>
    <tableColumn id="27" xr3:uid="{5BB95720-3430-4428-98BA-4532481E0CB6}" name="Prepayment days" dataDxfId="40" totalsRowDxfId="39" dataCellStyle="Comma"/>
    <tableColumn id="28" xr3:uid="{E60B287B-D81E-4B97-BEEF-0AE348314860}" name="Interest reversal " dataDxfId="38" totalsRowDxfId="37" dataCellStyle="Comma"/>
    <tableColumn id="29" xr3:uid="{71347A2C-1903-4710-8462-A885680A87A0}" name="Available Balance" dataDxfId="36" totalsRowDxfId="35">
      <calculatedColumnFormula array="1">_xlfn.IFS(D3="INDUSTOWER","275000000",D3="RELIANCEIN","220000000",D3="SIEMENSLTD","83330000")-I3</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 Id="rId9" Type="http://schemas.openxmlformats.org/officeDocument/2006/relationships/image" Target="../media/image3.emf"/></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settings/tokens/n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A5B6-5F60-4C24-862F-AAEA0CB80234}">
  <sheetPr>
    <tabColor rgb="FF569CD6"/>
  </sheetPr>
  <dimension ref="A1:G10"/>
  <sheetViews>
    <sheetView showGridLines="0" workbookViewId="0">
      <pane ySplit="3" topLeftCell="A4" activePane="bottomLeft" state="frozen"/>
      <selection pane="bottomLeft" activeCell="B4" sqref="B4"/>
    </sheetView>
  </sheetViews>
  <sheetFormatPr defaultRowHeight="15" x14ac:dyDescent="0.25"/>
  <cols>
    <col min="1" max="1" width="6.7109375" style="284" customWidth="1"/>
    <col min="2" max="2" width="35.7109375" style="95" customWidth="1"/>
    <col min="3" max="6" width="12.7109375" style="284" customWidth="1"/>
    <col min="7" max="7" width="10.7109375" style="284" customWidth="1"/>
  </cols>
  <sheetData>
    <row r="1" spans="1:7" ht="30" customHeight="1" thickBot="1" x14ac:dyDescent="0.3">
      <c r="A1" s="335" t="s">
        <v>540</v>
      </c>
      <c r="B1" s="335"/>
      <c r="C1" s="335"/>
      <c r="D1" s="335"/>
      <c r="E1" s="335"/>
      <c r="F1" s="335"/>
      <c r="G1" s="335"/>
    </row>
    <row r="2" spans="1:7" ht="20.100000000000001" customHeight="1" thickBot="1" x14ac:dyDescent="0.3">
      <c r="A2" s="336" t="s">
        <v>522</v>
      </c>
      <c r="B2" s="336"/>
      <c r="C2" s="336"/>
      <c r="D2" s="336"/>
      <c r="E2" s="336"/>
      <c r="F2" s="336"/>
      <c r="G2" s="336"/>
    </row>
    <row r="3" spans="1:7" ht="24.95" customHeight="1" thickBot="1" x14ac:dyDescent="0.3">
      <c r="A3" s="294" t="s">
        <v>184</v>
      </c>
      <c r="B3" s="295" t="s">
        <v>523</v>
      </c>
      <c r="C3" s="294" t="s">
        <v>524</v>
      </c>
      <c r="D3" s="294" t="s">
        <v>525</v>
      </c>
      <c r="E3" s="294" t="s">
        <v>526</v>
      </c>
      <c r="F3" s="294" t="s">
        <v>527</v>
      </c>
      <c r="G3" s="294" t="s">
        <v>528</v>
      </c>
    </row>
    <row r="4" spans="1:7" x14ac:dyDescent="0.25">
      <c r="A4" s="288">
        <v>1</v>
      </c>
      <c r="B4" s="289" t="s">
        <v>532</v>
      </c>
      <c r="C4" s="288">
        <v>154</v>
      </c>
      <c r="D4" s="288">
        <v>29</v>
      </c>
      <c r="E4" s="288" t="s">
        <v>529</v>
      </c>
      <c r="F4" s="288" t="s">
        <v>533</v>
      </c>
      <c r="G4" s="290" t="s">
        <v>531</v>
      </c>
    </row>
    <row r="5" spans="1:7" x14ac:dyDescent="0.25">
      <c r="A5" s="285">
        <v>2</v>
      </c>
      <c r="B5" s="286" t="s">
        <v>534</v>
      </c>
      <c r="C5" s="285">
        <v>52</v>
      </c>
      <c r="D5" s="285">
        <v>16</v>
      </c>
      <c r="E5" s="285" t="s">
        <v>529</v>
      </c>
      <c r="F5" s="285" t="s">
        <v>530</v>
      </c>
      <c r="G5" s="287" t="s">
        <v>531</v>
      </c>
    </row>
    <row r="6" spans="1:7" x14ac:dyDescent="0.25">
      <c r="A6" s="285">
        <v>3</v>
      </c>
      <c r="B6" s="286" t="s">
        <v>535</v>
      </c>
      <c r="C6" s="285">
        <v>29</v>
      </c>
      <c r="D6" s="285">
        <v>7</v>
      </c>
      <c r="E6" s="285" t="s">
        <v>529</v>
      </c>
      <c r="F6" s="285" t="s">
        <v>530</v>
      </c>
      <c r="G6" s="287" t="s">
        <v>531</v>
      </c>
    </row>
    <row r="7" spans="1:7" x14ac:dyDescent="0.25">
      <c r="A7" s="291">
        <v>4</v>
      </c>
      <c r="B7" s="292" t="s">
        <v>536</v>
      </c>
      <c r="C7" s="291">
        <v>31</v>
      </c>
      <c r="D7" s="291">
        <v>48</v>
      </c>
      <c r="E7" s="291" t="s">
        <v>529</v>
      </c>
      <c r="F7" s="291" t="s">
        <v>533</v>
      </c>
      <c r="G7" s="293" t="s">
        <v>531</v>
      </c>
    </row>
    <row r="8" spans="1:7" x14ac:dyDescent="0.25">
      <c r="A8" s="285">
        <v>5</v>
      </c>
      <c r="B8" s="286" t="s">
        <v>537</v>
      </c>
      <c r="C8" s="285">
        <v>44</v>
      </c>
      <c r="D8" s="285">
        <v>2</v>
      </c>
      <c r="E8" s="285" t="s">
        <v>529</v>
      </c>
      <c r="F8" s="285" t="s">
        <v>530</v>
      </c>
      <c r="G8" s="287" t="s">
        <v>531</v>
      </c>
    </row>
    <row r="9" spans="1:7" x14ac:dyDescent="0.25">
      <c r="A9" s="291">
        <v>6</v>
      </c>
      <c r="B9" s="292" t="s">
        <v>538</v>
      </c>
      <c r="C9" s="291">
        <v>2</v>
      </c>
      <c r="D9" s="291">
        <v>3</v>
      </c>
      <c r="E9" s="291" t="s">
        <v>529</v>
      </c>
      <c r="F9" s="291" t="s">
        <v>533</v>
      </c>
      <c r="G9" s="293" t="s">
        <v>531</v>
      </c>
    </row>
    <row r="10" spans="1:7" x14ac:dyDescent="0.25">
      <c r="A10" s="285">
        <v>7</v>
      </c>
      <c r="B10" s="286" t="s">
        <v>539</v>
      </c>
      <c r="C10" s="285">
        <v>55</v>
      </c>
      <c r="D10" s="285">
        <v>13</v>
      </c>
      <c r="E10" s="285" t="s">
        <v>529</v>
      </c>
      <c r="F10" s="285" t="s">
        <v>530</v>
      </c>
      <c r="G10" s="287" t="s">
        <v>531</v>
      </c>
    </row>
  </sheetData>
  <mergeCells count="2">
    <mergeCell ref="A1:G1"/>
    <mergeCell ref="A2:G2"/>
  </mergeCells>
  <conditionalFormatting sqref="A1:XFD1048576">
    <cfRule type="expression" dxfId="34" priority="1">
      <formula>AND(ROW()=ROW(__FocusCell),COLUMN()&lt;&gt;COLUMN(__FocusCell))</formula>
    </cfRule>
    <cfRule type="expression" dxfId="33" priority="2">
      <formula>AND(COLUMN()=COLUMN(__FocusCell),ROW()&lt;&gt;ROW(__FocusCell))</formula>
    </cfRule>
  </conditionalFormatting>
  <hyperlinks>
    <hyperlink ref="B4" location="'DOMESTIC'!A1" display="DOMESTIC" xr:uid="{5B450D06-DF96-49EA-B41A-458CA0AF18F3}"/>
    <hyperlink ref="G4" display="Delete" xr:uid="{7C76261C-7E7F-469E-849E-F18DD90FD4F2}"/>
    <hyperlink ref="B5" location="'Dash_Backend'!A1" display="Dash_Backend" xr:uid="{96859756-BFEA-45A2-9938-76045B4D9B4B}"/>
    <hyperlink ref="G5" display="Delete" xr:uid="{DC1AA508-6B82-492C-A7C8-3F7BADE88CE9}"/>
    <hyperlink ref="B6" location="'Dash_Settings'!A1" display="Dash_Settings" xr:uid="{A6C9EF8C-0BC7-4144-A5ED-89364B568BB0}"/>
    <hyperlink ref="G6" display="Delete" xr:uid="{2E2762B2-9371-40C2-8515-34D3BFF15860}"/>
    <hyperlink ref="B7" location="'EXPORT'!A1" display="EXPORT" xr:uid="{5185300F-D4EB-44E9-80AF-CD61B7A19AED}"/>
    <hyperlink ref="G7" display="Delete" xr:uid="{FAA09B2B-73D2-473A-A7FA-7B5FE4E06A5A}"/>
    <hyperlink ref="B8" location="'GitHub Setup Guide'!A1" display="GitHub Setup Guide" xr:uid="{295B37B6-946E-4D3F-A582-008567A0EFD0}"/>
    <hyperlink ref="G8" display="Delete" xr:uid="{2735BAB9-38EC-4106-9C4E-511B7C1C07AE}"/>
    <hyperlink ref="B9" location="'Offline_Dashboard'!A1" display="Offline_Dashboard" xr:uid="{28EEA70D-25EE-479F-96DD-2BB0716F853F}"/>
    <hyperlink ref="G9" display="Delete" xr:uid="{D480611F-5E40-4433-93F3-5E16C68AB29B}"/>
    <hyperlink ref="B10" location="'SUMMARY'!A1" display="SUMMARY" xr:uid="{0B7B739F-3032-43B7-9CF6-5EEE8540FE7F}"/>
    <hyperlink ref="G10" display="Delete" xr:uid="{B7301E81-F612-43D5-B68F-50F6C36C3363}"/>
  </hyperlinks>
  <pageMargins left="0.7" right="0.7" top="0.75" bottom="0.75" header="0.3" footer="0.3"/>
  <pageSetup paperSize="9" scale="9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9817-72B5-4849-9C3D-3A5FCE5C22BA}">
  <sheetPr codeName="Sheet13"/>
  <dimension ref="B1:AA29"/>
  <sheetViews>
    <sheetView showGridLines="0" workbookViewId="0">
      <selection activeCell="G15" sqref="G15"/>
    </sheetView>
  </sheetViews>
  <sheetFormatPr defaultRowHeight="15" x14ac:dyDescent="0.25"/>
  <cols>
    <col min="1" max="1" width="3.7109375" style="166" customWidth="1"/>
    <col min="2" max="2" width="20.7109375" style="166" customWidth="1"/>
    <col min="3" max="3" width="30.7109375" style="166" customWidth="1"/>
    <col min="4" max="5" width="20.7109375" style="166" customWidth="1"/>
    <col min="6" max="6" width="30.7109375" style="166" customWidth="1"/>
    <col min="7" max="24" width="9.140625" style="166"/>
    <col min="25" max="27" width="0" style="166" hidden="1" customWidth="1"/>
    <col min="28" max="16384" width="9.140625" style="166"/>
  </cols>
  <sheetData>
    <row r="1" spans="2:27" x14ac:dyDescent="0.25">
      <c r="Y1" s="166" t="s">
        <v>245</v>
      </c>
      <c r="Z1" s="166" t="s">
        <v>8</v>
      </c>
      <c r="AA1" s="166" t="s">
        <v>249</v>
      </c>
    </row>
    <row r="2" spans="2:27" ht="17.25" x14ac:dyDescent="0.25">
      <c r="B2" s="337" t="s">
        <v>267</v>
      </c>
      <c r="C2" s="338"/>
      <c r="D2" s="338"/>
      <c r="E2" s="338"/>
      <c r="F2" s="338"/>
      <c r="Y2" s="166" t="s">
        <v>246</v>
      </c>
      <c r="Z2" s="166" t="s">
        <v>184</v>
      </c>
      <c r="AA2" s="166" t="s">
        <v>247</v>
      </c>
    </row>
    <row r="3" spans="2:27" ht="14.45" customHeight="1" x14ac:dyDescent="0.25">
      <c r="Y3" s="166" t="s">
        <v>414</v>
      </c>
      <c r="Z3" s="166" t="s">
        <v>23</v>
      </c>
      <c r="AA3" s="166" t="s">
        <v>250</v>
      </c>
    </row>
    <row r="4" spans="2:27" ht="16.5" x14ac:dyDescent="0.25">
      <c r="B4" s="339" t="s">
        <v>268</v>
      </c>
      <c r="C4" s="340"/>
      <c r="E4" s="339" t="s">
        <v>277</v>
      </c>
      <c r="F4" s="340"/>
      <c r="Y4" s="166" t="s">
        <v>247</v>
      </c>
      <c r="Z4" s="166" t="s">
        <v>0</v>
      </c>
      <c r="AA4" s="166" t="s">
        <v>251</v>
      </c>
    </row>
    <row r="5" spans="2:27" ht="16.899999999999999" customHeight="1" x14ac:dyDescent="0.25">
      <c r="B5" s="341" t="s">
        <v>269</v>
      </c>
      <c r="C5" s="342"/>
      <c r="E5" s="341" t="s">
        <v>278</v>
      </c>
      <c r="F5" s="342"/>
      <c r="Y5" s="166" t="b">
        <v>0</v>
      </c>
      <c r="Z5" s="166" t="s">
        <v>1</v>
      </c>
      <c r="AA5" s="166" t="s">
        <v>252</v>
      </c>
    </row>
    <row r="6" spans="2:27" x14ac:dyDescent="0.25">
      <c r="B6" s="167" t="s">
        <v>270</v>
      </c>
      <c r="C6" s="168" t="s">
        <v>290</v>
      </c>
      <c r="E6" s="169" t="s">
        <v>279</v>
      </c>
      <c r="F6" s="170" t="s">
        <v>291</v>
      </c>
      <c r="Y6" s="166" t="s">
        <v>248</v>
      </c>
      <c r="Z6" s="166" t="s">
        <v>2</v>
      </c>
      <c r="AA6" s="166" t="s">
        <v>253</v>
      </c>
    </row>
    <row r="7" spans="2:27" x14ac:dyDescent="0.25">
      <c r="B7" s="167" t="s">
        <v>271</v>
      </c>
      <c r="C7" s="168" t="s">
        <v>0</v>
      </c>
      <c r="E7" s="169" t="s">
        <v>280</v>
      </c>
      <c r="F7" s="170" t="s">
        <v>287</v>
      </c>
      <c r="Z7" s="166" t="s">
        <v>3</v>
      </c>
      <c r="AA7" s="166" t="s">
        <v>254</v>
      </c>
    </row>
    <row r="8" spans="2:27" x14ac:dyDescent="0.25">
      <c r="B8" s="167" t="s">
        <v>272</v>
      </c>
      <c r="C8" s="168" t="s">
        <v>275</v>
      </c>
      <c r="E8" s="169" t="s">
        <v>281</v>
      </c>
      <c r="F8" s="170" t="s">
        <v>0</v>
      </c>
      <c r="Z8" s="166" t="s">
        <v>183</v>
      </c>
      <c r="AA8" s="166" t="s">
        <v>255</v>
      </c>
    </row>
    <row r="9" spans="2:27" x14ac:dyDescent="0.25">
      <c r="B9" s="167" t="s">
        <v>273</v>
      </c>
      <c r="C9" s="168" t="s">
        <v>276</v>
      </c>
      <c r="E9" s="171" t="s">
        <v>282</v>
      </c>
      <c r="F9" s="172" t="s">
        <v>248</v>
      </c>
      <c r="Z9" s="166" t="s">
        <v>185</v>
      </c>
      <c r="AA9" s="166" t="s">
        <v>256</v>
      </c>
    </row>
    <row r="10" spans="2:27" x14ac:dyDescent="0.25">
      <c r="B10" s="167" t="s">
        <v>274</v>
      </c>
      <c r="C10" s="168" t="s">
        <v>247</v>
      </c>
      <c r="E10" s="169" t="s">
        <v>283</v>
      </c>
      <c r="F10" s="170" t="s">
        <v>185</v>
      </c>
      <c r="Z10" s="166" t="s">
        <v>4</v>
      </c>
      <c r="AA10" s="166" t="s">
        <v>257</v>
      </c>
    </row>
    <row r="11" spans="2:27" x14ac:dyDescent="0.25">
      <c r="B11" s="168"/>
      <c r="C11" s="168"/>
      <c r="E11" s="169" t="s">
        <v>272</v>
      </c>
      <c r="F11" s="170" t="s">
        <v>275</v>
      </c>
      <c r="Z11" s="166" t="s">
        <v>16</v>
      </c>
      <c r="AA11" s="166" t="s">
        <v>258</v>
      </c>
    </row>
    <row r="12" spans="2:27" hidden="1" x14ac:dyDescent="0.25">
      <c r="E12" s="169" t="s">
        <v>284</v>
      </c>
      <c r="F12" s="170">
        <v>0</v>
      </c>
      <c r="Z12" s="166" t="s">
        <v>15</v>
      </c>
      <c r="AA12" s="166" t="s">
        <v>259</v>
      </c>
    </row>
    <row r="13" spans="2:27" hidden="1" x14ac:dyDescent="0.25">
      <c r="E13" s="169" t="s">
        <v>285</v>
      </c>
      <c r="F13" s="170"/>
      <c r="Z13" s="166" t="s">
        <v>186</v>
      </c>
      <c r="AA13" s="166" t="s">
        <v>260</v>
      </c>
    </row>
    <row r="14" spans="2:27" hidden="1" x14ac:dyDescent="0.25">
      <c r="E14" s="169" t="s">
        <v>286</v>
      </c>
      <c r="F14" s="170"/>
      <c r="Z14" s="166" t="s">
        <v>5</v>
      </c>
      <c r="AA14" s="166" t="s">
        <v>261</v>
      </c>
    </row>
    <row r="15" spans="2:27" x14ac:dyDescent="0.25">
      <c r="E15" s="169" t="s">
        <v>273</v>
      </c>
      <c r="F15" s="170" t="s">
        <v>276</v>
      </c>
      <c r="Z15" s="166" t="s">
        <v>179</v>
      </c>
      <c r="AA15" s="166" t="s">
        <v>262</v>
      </c>
    </row>
    <row r="16" spans="2:27" x14ac:dyDescent="0.25">
      <c r="E16" s="169" t="s">
        <v>274</v>
      </c>
      <c r="F16" s="170" t="s">
        <v>247</v>
      </c>
      <c r="Z16" s="166" t="s">
        <v>180</v>
      </c>
      <c r="AA16" s="166" t="s">
        <v>263</v>
      </c>
    </row>
    <row r="17" spans="5:27" x14ac:dyDescent="0.25">
      <c r="E17" s="170"/>
      <c r="F17" s="170"/>
      <c r="Z17" s="166" t="s">
        <v>189</v>
      </c>
      <c r="AA17" s="166" t="s">
        <v>264</v>
      </c>
    </row>
    <row r="18" spans="5:27" x14ac:dyDescent="0.25">
      <c r="Z18" s="166" t="s">
        <v>9</v>
      </c>
      <c r="AA18" s="166" t="s">
        <v>265</v>
      </c>
    </row>
    <row r="19" spans="5:27" x14ac:dyDescent="0.25">
      <c r="Z19" s="166" t="s">
        <v>13</v>
      </c>
      <c r="AA19" s="166" t="s">
        <v>266</v>
      </c>
    </row>
    <row r="20" spans="5:27" x14ac:dyDescent="0.25">
      <c r="Z20" s="166" t="s">
        <v>10</v>
      </c>
      <c r="AA20" s="166" t="s">
        <v>248</v>
      </c>
    </row>
    <row r="21" spans="5:27" x14ac:dyDescent="0.25">
      <c r="Z21" s="166" t="s">
        <v>11</v>
      </c>
    </row>
    <row r="22" spans="5:27" x14ac:dyDescent="0.25">
      <c r="Z22" s="166" t="s">
        <v>12</v>
      </c>
    </row>
    <row r="23" spans="5:27" x14ac:dyDescent="0.25">
      <c r="Z23" s="166" t="s">
        <v>18</v>
      </c>
    </row>
    <row r="24" spans="5:27" x14ac:dyDescent="0.25">
      <c r="Z24" s="166" t="s">
        <v>77</v>
      </c>
    </row>
    <row r="25" spans="5:27" x14ac:dyDescent="0.25">
      <c r="Z25" s="166" t="s">
        <v>14</v>
      </c>
    </row>
    <row r="26" spans="5:27" x14ac:dyDescent="0.25">
      <c r="Z26" s="166" t="s">
        <v>142</v>
      </c>
    </row>
    <row r="27" spans="5:27" x14ac:dyDescent="0.25">
      <c r="Z27" s="166" t="s">
        <v>22</v>
      </c>
    </row>
    <row r="28" spans="5:27" x14ac:dyDescent="0.25">
      <c r="Z28" s="166" t="s">
        <v>21</v>
      </c>
    </row>
    <row r="29" spans="5:27" x14ac:dyDescent="0.25">
      <c r="Z29" s="166" t="s">
        <v>242</v>
      </c>
    </row>
  </sheetData>
  <mergeCells count="5">
    <mergeCell ref="B2:F2"/>
    <mergeCell ref="B4:C4"/>
    <mergeCell ref="B5:C5"/>
    <mergeCell ref="E4:F4"/>
    <mergeCell ref="E5:F5"/>
  </mergeCells>
  <conditionalFormatting sqref="A1:XFD1048576">
    <cfRule type="expression" dxfId="32" priority="1">
      <formula>AND(ROW()=ROW(__FocusCell),COLUMN()&lt;&gt;COLUMN(__FocusCell))</formula>
    </cfRule>
    <cfRule type="expression" dxfId="31" priority="2">
      <formula>AND(COLUMN()=COLUMN(__FocusCell),ROW()&lt;&gt;ROW(__FocusCell))</formula>
    </cfRule>
  </conditionalFormatting>
  <dataValidations count="6">
    <dataValidation type="list" allowBlank="1" showInputMessage="1" showErrorMessage="1" sqref="C10 F16" xr:uid="{AFD0F5A8-E636-4C05-9DFB-3DEFD9687DFF}">
      <formula1>DashCurrencies</formula1>
    </dataValidation>
    <dataValidation type="list" allowBlank="1" showInputMessage="1" showErrorMessage="1" sqref="C7 F8 F10" xr:uid="{3A3D69D5-378A-452D-A493-BF428206A87D}">
      <formula1>DashHeaders</formula1>
    </dataValidation>
    <dataValidation type="list" allowBlank="1" showInputMessage="1" showErrorMessage="1" sqref="C8 F11" xr:uid="{D9805D40-3FD0-4C4F-8FEA-38C47F38E969}">
      <formula1>"sum,avg,count,distinct,min,max"</formula1>
    </dataValidation>
    <dataValidation type="list" allowBlank="1" showInputMessage="1" showErrorMessage="1" sqref="C9 F15" xr:uid="{05CAFA9C-6AD2-4B37-8EB8-452A4CAC1E81}">
      <formula1>"Auto,Actual Value,Thousands (K),Millions (M),Billions (B)"</formula1>
    </dataValidation>
    <dataValidation type="list" allowBlank="1" showInputMessage="1" showErrorMessage="1" sqref="F7" xr:uid="{8F1DD566-B13C-4578-BC43-C6316A8F1B04}">
      <formula1>"column,bar,line,area,pie,doughnut"</formula1>
    </dataValidation>
    <dataValidation type="list" allowBlank="1" showInputMessage="1" showErrorMessage="1" sqref="F9" xr:uid="{AB52F627-3A51-4EA3-AFF0-25AD85563104}">
      <formula1>"None,Year,Quarter,Month,Day"</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182B-C7CD-47EC-8BB9-B80A4AA2F03D}">
  <sheetPr codeName="Sheet14"/>
  <dimension ref="B3:AR54"/>
  <sheetViews>
    <sheetView workbookViewId="0"/>
  </sheetViews>
  <sheetFormatPr defaultRowHeight="15" x14ac:dyDescent="0.25"/>
  <cols>
    <col min="2" max="2" width="19.140625" bestFit="1" customWidth="1"/>
    <col min="6" max="6" width="12.5703125" bestFit="1" customWidth="1"/>
    <col min="10" max="10" width="14.42578125" bestFit="1" customWidth="1"/>
    <col min="11" max="12" width="19.140625" bestFit="1" customWidth="1"/>
    <col min="15" max="15" width="14.42578125" bestFit="1" customWidth="1"/>
    <col min="19" max="19" width="21" bestFit="1" customWidth="1"/>
    <col min="23" max="23" width="21" bestFit="1" customWidth="1"/>
    <col min="24" max="24" width="12.5703125" bestFit="1" customWidth="1"/>
    <col min="28" max="28" width="14.42578125" bestFit="1" customWidth="1"/>
    <col min="29" max="29" width="19.140625" bestFit="1" customWidth="1"/>
    <col min="33" max="33" width="14.42578125" bestFit="1" customWidth="1"/>
    <col min="34" max="34" width="19.140625" bestFit="1" customWidth="1"/>
    <col min="38" max="38" width="14.42578125" bestFit="1" customWidth="1"/>
    <col min="39" max="39" width="19.140625" bestFit="1" customWidth="1"/>
    <col min="43" max="43" width="14.42578125" bestFit="1" customWidth="1"/>
    <col min="44" max="44" width="19.140625" bestFit="1" customWidth="1"/>
  </cols>
  <sheetData>
    <row r="3" spans="2:44" x14ac:dyDescent="0.25">
      <c r="B3" t="s">
        <v>288</v>
      </c>
      <c r="F3" t="s">
        <v>289</v>
      </c>
      <c r="J3" s="7" t="s">
        <v>0</v>
      </c>
      <c r="K3" t="s">
        <v>288</v>
      </c>
      <c r="O3" s="7" t="s">
        <v>0</v>
      </c>
      <c r="S3" s="7" t="s">
        <v>185</v>
      </c>
      <c r="W3" s="7" t="s">
        <v>185</v>
      </c>
      <c r="X3" t="s">
        <v>289</v>
      </c>
      <c r="AB3" s="7" t="s">
        <v>0</v>
      </c>
      <c r="AC3" t="s">
        <v>288</v>
      </c>
      <c r="AG3" s="7" t="s">
        <v>0</v>
      </c>
      <c r="AH3" t="s">
        <v>288</v>
      </c>
      <c r="AL3" s="7" t="s">
        <v>0</v>
      </c>
      <c r="AM3" t="s">
        <v>288</v>
      </c>
      <c r="AQ3" s="7" t="s">
        <v>0</v>
      </c>
      <c r="AR3" t="s">
        <v>288</v>
      </c>
    </row>
    <row r="4" spans="2:44" x14ac:dyDescent="0.25">
      <c r="B4" s="173">
        <v>93141681.649999991</v>
      </c>
      <c r="F4" s="173">
        <v>0</v>
      </c>
      <c r="J4" t="s">
        <v>27</v>
      </c>
      <c r="K4">
        <v>40678015.919999979</v>
      </c>
      <c r="O4" t="s">
        <v>0</v>
      </c>
      <c r="S4">
        <v>5560.16</v>
      </c>
      <c r="W4">
        <v>5560.16</v>
      </c>
      <c r="X4">
        <v>0</v>
      </c>
      <c r="AB4" t="s">
        <v>27</v>
      </c>
      <c r="AC4">
        <v>44262547.939999975</v>
      </c>
      <c r="AG4" t="s">
        <v>0</v>
      </c>
      <c r="AH4">
        <v>0</v>
      </c>
      <c r="AL4" t="s">
        <v>27</v>
      </c>
      <c r="AM4">
        <v>40678015.919999979</v>
      </c>
      <c r="AQ4" t="s">
        <v>0</v>
      </c>
      <c r="AR4">
        <v>0</v>
      </c>
    </row>
    <row r="5" spans="2:44" x14ac:dyDescent="0.25">
      <c r="J5" t="s">
        <v>24</v>
      </c>
      <c r="K5">
        <v>15704860.889999999</v>
      </c>
      <c r="O5" t="s">
        <v>27</v>
      </c>
      <c r="S5">
        <v>147186.12</v>
      </c>
      <c r="W5">
        <v>147186.12</v>
      </c>
      <c r="X5">
        <v>0</v>
      </c>
      <c r="AB5" t="s">
        <v>24</v>
      </c>
      <c r="AC5">
        <v>19383220.609999999</v>
      </c>
      <c r="AG5" t="s">
        <v>27</v>
      </c>
      <c r="AH5">
        <v>40678015.919999979</v>
      </c>
      <c r="AL5" t="s">
        <v>24</v>
      </c>
      <c r="AM5">
        <v>15704860.889999999</v>
      </c>
      <c r="AQ5" t="s">
        <v>27</v>
      </c>
      <c r="AR5">
        <v>40678015.919999979</v>
      </c>
    </row>
    <row r="6" spans="2:44" x14ac:dyDescent="0.25">
      <c r="J6" t="s">
        <v>96</v>
      </c>
      <c r="K6">
        <v>36758804.839999989</v>
      </c>
      <c r="O6" t="s">
        <v>24</v>
      </c>
      <c r="S6">
        <v>155809.56</v>
      </c>
      <c r="W6">
        <v>155809.56</v>
      </c>
      <c r="X6">
        <v>0</v>
      </c>
      <c r="AB6" t="s">
        <v>96</v>
      </c>
      <c r="AC6">
        <v>36758804.839999989</v>
      </c>
      <c r="AG6" t="s">
        <v>24</v>
      </c>
      <c r="AH6">
        <v>15704860.889999999</v>
      </c>
      <c r="AL6" t="s">
        <v>96</v>
      </c>
      <c r="AM6">
        <v>36758804.839999989</v>
      </c>
      <c r="AQ6" t="s">
        <v>24</v>
      </c>
      <c r="AR6">
        <v>15704860.889999999</v>
      </c>
    </row>
    <row r="7" spans="2:44" x14ac:dyDescent="0.25">
      <c r="O7" t="s">
        <v>96</v>
      </c>
      <c r="S7">
        <v>230361.96</v>
      </c>
      <c r="W7">
        <v>230361.96</v>
      </c>
      <c r="X7">
        <v>0</v>
      </c>
      <c r="AB7" t="s">
        <v>0</v>
      </c>
      <c r="AC7">
        <v>0</v>
      </c>
      <c r="AG7" t="s">
        <v>96</v>
      </c>
      <c r="AH7">
        <v>36758804.839999989</v>
      </c>
      <c r="AQ7" t="s">
        <v>96</v>
      </c>
      <c r="AR7">
        <v>36758804.839999989</v>
      </c>
    </row>
    <row r="8" spans="2:44" x14ac:dyDescent="0.25">
      <c r="S8">
        <v>232106</v>
      </c>
      <c r="W8">
        <v>232106</v>
      </c>
      <c r="X8">
        <v>0</v>
      </c>
      <c r="AB8" t="s">
        <v>453</v>
      </c>
      <c r="AC8">
        <v>56936452.580000006</v>
      </c>
    </row>
    <row r="9" spans="2:44" x14ac:dyDescent="0.25">
      <c r="S9">
        <v>357129.36</v>
      </c>
      <c r="W9">
        <v>357129.36</v>
      </c>
      <c r="X9">
        <v>0</v>
      </c>
      <c r="AB9" t="s">
        <v>472</v>
      </c>
      <c r="AC9">
        <v>31252202.069999997</v>
      </c>
    </row>
    <row r="10" spans="2:44" x14ac:dyDescent="0.25">
      <c r="S10">
        <v>418134.18</v>
      </c>
      <c r="W10">
        <v>418134.18</v>
      </c>
      <c r="X10">
        <v>0</v>
      </c>
      <c r="AB10" t="s">
        <v>478</v>
      </c>
      <c r="AC10">
        <v>3956835</v>
      </c>
    </row>
    <row r="11" spans="2:44" x14ac:dyDescent="0.25">
      <c r="S11">
        <v>442595.58</v>
      </c>
      <c r="W11">
        <v>442595.58</v>
      </c>
      <c r="X11">
        <v>0</v>
      </c>
    </row>
    <row r="12" spans="2:44" x14ac:dyDescent="0.25">
      <c r="S12">
        <v>479139</v>
      </c>
      <c r="W12">
        <v>479139</v>
      </c>
      <c r="X12">
        <v>0</v>
      </c>
    </row>
    <row r="13" spans="2:44" x14ac:dyDescent="0.25">
      <c r="S13">
        <v>481668.92</v>
      </c>
      <c r="W13">
        <v>481668.92</v>
      </c>
      <c r="X13">
        <v>0</v>
      </c>
    </row>
    <row r="14" spans="2:44" x14ac:dyDescent="0.25">
      <c r="S14">
        <v>483325.64</v>
      </c>
      <c r="W14">
        <v>483325.64</v>
      </c>
      <c r="X14">
        <v>0</v>
      </c>
    </row>
    <row r="15" spans="2:44" x14ac:dyDescent="0.25">
      <c r="S15">
        <v>506008.78</v>
      </c>
      <c r="W15">
        <v>506008.78</v>
      </c>
      <c r="X15">
        <v>0</v>
      </c>
    </row>
    <row r="16" spans="2:44" x14ac:dyDescent="0.25">
      <c r="S16">
        <v>561855.81999999995</v>
      </c>
      <c r="W16">
        <v>561855.81999999995</v>
      </c>
      <c r="X16">
        <v>0</v>
      </c>
    </row>
    <row r="17" spans="19:24" x14ac:dyDescent="0.25">
      <c r="S17">
        <v>647363.34</v>
      </c>
      <c r="W17">
        <v>647363.34</v>
      </c>
      <c r="X17">
        <v>0</v>
      </c>
    </row>
    <row r="18" spans="19:24" x14ac:dyDescent="0.25">
      <c r="S18">
        <v>661895.04</v>
      </c>
      <c r="W18">
        <v>661895.04</v>
      </c>
      <c r="X18">
        <v>0</v>
      </c>
    </row>
    <row r="19" spans="19:24" x14ac:dyDescent="0.25">
      <c r="S19">
        <v>671243</v>
      </c>
      <c r="W19">
        <v>671243</v>
      </c>
      <c r="X19">
        <v>0</v>
      </c>
    </row>
    <row r="20" spans="19:24" x14ac:dyDescent="0.25">
      <c r="S20">
        <v>689850.92</v>
      </c>
      <c r="W20">
        <v>689850.92</v>
      </c>
      <c r="X20">
        <v>0</v>
      </c>
    </row>
    <row r="21" spans="19:24" x14ac:dyDescent="0.25">
      <c r="S21">
        <v>692866.5</v>
      </c>
      <c r="W21">
        <v>692866.5</v>
      </c>
      <c r="X21">
        <v>0</v>
      </c>
    </row>
    <row r="22" spans="19:24" x14ac:dyDescent="0.25">
      <c r="S22">
        <v>752314.9</v>
      </c>
      <c r="W22">
        <v>752314.9</v>
      </c>
      <c r="X22">
        <v>0</v>
      </c>
    </row>
    <row r="23" spans="19:24" x14ac:dyDescent="0.25">
      <c r="S23">
        <v>766484.34</v>
      </c>
      <c r="W23">
        <v>766484.34</v>
      </c>
      <c r="X23">
        <v>0</v>
      </c>
    </row>
    <row r="24" spans="19:24" x14ac:dyDescent="0.25">
      <c r="S24">
        <v>774998.04</v>
      </c>
      <c r="W24">
        <v>774998.04</v>
      </c>
      <c r="X24">
        <v>0</v>
      </c>
    </row>
    <row r="25" spans="19:24" x14ac:dyDescent="0.25">
      <c r="S25">
        <v>822460</v>
      </c>
      <c r="W25">
        <v>822460</v>
      </c>
      <c r="X25">
        <v>0</v>
      </c>
    </row>
    <row r="26" spans="19:24" x14ac:dyDescent="0.25">
      <c r="S26">
        <v>873873.78</v>
      </c>
      <c r="W26">
        <v>873873.78</v>
      </c>
      <c r="X26">
        <v>0</v>
      </c>
    </row>
    <row r="27" spans="19:24" x14ac:dyDescent="0.25">
      <c r="S27">
        <v>1006923.5</v>
      </c>
      <c r="W27">
        <v>1006923.5</v>
      </c>
      <c r="X27">
        <v>0</v>
      </c>
    </row>
    <row r="28" spans="19:24" x14ac:dyDescent="0.25">
      <c r="S28">
        <v>1069198</v>
      </c>
      <c r="W28">
        <v>1069198</v>
      </c>
      <c r="X28">
        <v>0</v>
      </c>
    </row>
    <row r="29" spans="19:24" x14ac:dyDescent="0.25">
      <c r="S29" t="s">
        <v>185</v>
      </c>
      <c r="W29" t="s">
        <v>185</v>
      </c>
      <c r="X29">
        <v>0</v>
      </c>
    </row>
    <row r="30" spans="19:24" x14ac:dyDescent="0.25">
      <c r="S30">
        <v>455946.1</v>
      </c>
      <c r="W30">
        <v>455946.1</v>
      </c>
      <c r="X30">
        <v>0</v>
      </c>
    </row>
    <row r="31" spans="19:24" x14ac:dyDescent="0.25">
      <c r="S31">
        <v>764307.41</v>
      </c>
      <c r="W31">
        <v>764307.41</v>
      </c>
      <c r="X31">
        <v>0</v>
      </c>
    </row>
    <row r="32" spans="19:24" x14ac:dyDescent="0.25">
      <c r="S32">
        <v>916860</v>
      </c>
      <c r="W32">
        <v>916860</v>
      </c>
      <c r="X32">
        <v>0</v>
      </c>
    </row>
    <row r="33" spans="19:24" x14ac:dyDescent="0.25">
      <c r="S33">
        <v>848001.1</v>
      </c>
      <c r="W33">
        <v>848001.1</v>
      </c>
      <c r="X33">
        <v>0</v>
      </c>
    </row>
    <row r="34" spans="19:24" x14ac:dyDescent="0.25">
      <c r="S34">
        <v>17142711.34</v>
      </c>
      <c r="W34">
        <v>17142711.34</v>
      </c>
      <c r="X34">
        <v>0</v>
      </c>
    </row>
    <row r="35" spans="19:24" x14ac:dyDescent="0.25">
      <c r="S35">
        <v>40214</v>
      </c>
      <c r="W35">
        <v>40214</v>
      </c>
      <c r="X35">
        <v>0</v>
      </c>
    </row>
    <row r="36" spans="19:24" x14ac:dyDescent="0.25">
      <c r="S36">
        <v>10602</v>
      </c>
      <c r="W36">
        <v>10602</v>
      </c>
      <c r="X36">
        <v>0</v>
      </c>
    </row>
    <row r="37" spans="19:24" x14ac:dyDescent="0.25">
      <c r="S37">
        <v>4838730</v>
      </c>
      <c r="W37">
        <v>4838730</v>
      </c>
      <c r="X37">
        <v>0</v>
      </c>
    </row>
    <row r="38" spans="19:24" x14ac:dyDescent="0.25">
      <c r="S38">
        <v>84594.2</v>
      </c>
      <c r="W38">
        <v>84594.2</v>
      </c>
      <c r="X38">
        <v>0</v>
      </c>
    </row>
    <row r="39" spans="19:24" x14ac:dyDescent="0.25">
      <c r="S39">
        <v>92346.8</v>
      </c>
      <c r="W39">
        <v>92346.8</v>
      </c>
      <c r="X39">
        <v>0</v>
      </c>
    </row>
    <row r="40" spans="19:24" x14ac:dyDescent="0.25">
      <c r="S40">
        <v>8340.24</v>
      </c>
      <c r="W40">
        <v>8340.24</v>
      </c>
      <c r="X40">
        <v>0</v>
      </c>
    </row>
    <row r="41" spans="19:24" x14ac:dyDescent="0.25">
      <c r="S41">
        <v>1324019</v>
      </c>
      <c r="W41">
        <v>1324019</v>
      </c>
      <c r="X41">
        <v>0</v>
      </c>
    </row>
    <row r="42" spans="19:24" x14ac:dyDescent="0.25">
      <c r="S42">
        <v>548932.46</v>
      </c>
      <c r="W42">
        <v>548932.46</v>
      </c>
      <c r="X42">
        <v>0</v>
      </c>
    </row>
    <row r="43" spans="19:24" x14ac:dyDescent="0.25">
      <c r="S43">
        <v>1132374.02</v>
      </c>
      <c r="W43">
        <v>1132374.02</v>
      </c>
      <c r="X43">
        <v>0</v>
      </c>
    </row>
    <row r="44" spans="19:24" x14ac:dyDescent="0.25">
      <c r="S44">
        <v>2100392.92</v>
      </c>
      <c r="W44">
        <v>2100392.92</v>
      </c>
      <c r="X44">
        <v>0</v>
      </c>
    </row>
    <row r="45" spans="19:24" x14ac:dyDescent="0.25">
      <c r="S45">
        <v>2956569.06</v>
      </c>
      <c r="W45">
        <v>2956569.06</v>
      </c>
      <c r="X45">
        <v>0</v>
      </c>
    </row>
    <row r="46" spans="19:24" x14ac:dyDescent="0.25">
      <c r="S46">
        <v>451109.28</v>
      </c>
      <c r="W46">
        <v>451109.28</v>
      </c>
      <c r="X46">
        <v>0</v>
      </c>
    </row>
    <row r="47" spans="19:24" x14ac:dyDescent="0.25">
      <c r="S47">
        <v>1625674.2</v>
      </c>
      <c r="W47">
        <v>1625674.2</v>
      </c>
      <c r="X47">
        <v>0</v>
      </c>
    </row>
    <row r="48" spans="19:24" x14ac:dyDescent="0.25">
      <c r="S48">
        <v>1627034.74</v>
      </c>
      <c r="W48">
        <v>1627034.74</v>
      </c>
      <c r="X48">
        <v>0</v>
      </c>
    </row>
    <row r="49" spans="19:24" x14ac:dyDescent="0.25">
      <c r="S49">
        <v>129841.3</v>
      </c>
      <c r="W49">
        <v>129841.3</v>
      </c>
      <c r="X49">
        <v>0</v>
      </c>
    </row>
    <row r="50" spans="19:24" x14ac:dyDescent="0.25">
      <c r="S50">
        <v>150509</v>
      </c>
      <c r="W50">
        <v>150509</v>
      </c>
      <c r="X50">
        <v>0</v>
      </c>
    </row>
    <row r="51" spans="19:24" x14ac:dyDescent="0.25">
      <c r="S51">
        <v>684578.18</v>
      </c>
      <c r="W51">
        <v>684578.18</v>
      </c>
      <c r="X51">
        <v>0</v>
      </c>
    </row>
    <row r="52" spans="19:24" x14ac:dyDescent="0.25">
      <c r="S52">
        <v>75263.94</v>
      </c>
      <c r="W52">
        <v>75263.94</v>
      </c>
      <c r="X52">
        <v>0</v>
      </c>
    </row>
    <row r="53" spans="19:24" x14ac:dyDescent="0.25">
      <c r="S53">
        <v>574467.66</v>
      </c>
      <c r="W53">
        <v>574467.66</v>
      </c>
      <c r="X53">
        <v>0</v>
      </c>
    </row>
    <row r="54" spans="19:24" x14ac:dyDescent="0.25">
      <c r="S54">
        <v>1151810.98</v>
      </c>
      <c r="W54">
        <v>1151810.98</v>
      </c>
      <c r="X54">
        <v>0</v>
      </c>
    </row>
  </sheetData>
  <conditionalFormatting sqref="A1:XFD1048576">
    <cfRule type="expression" dxfId="30" priority="1">
      <formula>AND(ROW()=ROW(__FocusCell),COLUMN()&lt;&gt;COLUMN(__FocusCell))</formula>
    </cfRule>
    <cfRule type="expression" dxfId="29" priority="2">
      <formula>AND(COLUMN()=COLUMN(__FocusCell),ROW()&lt;&gt;ROW(__FocusCell))</formula>
    </cfRule>
  </conditionalFormatting>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E3E8-C31B-493B-ABEC-86037FB14E42}">
  <sheetPr codeName="Sheet15"/>
  <dimension ref="B2:G3"/>
  <sheetViews>
    <sheetView topLeftCell="A40" workbookViewId="0">
      <selection activeCell="D59" sqref="D59"/>
    </sheetView>
  </sheetViews>
  <sheetFormatPr defaultRowHeight="15" x14ac:dyDescent="0.25"/>
  <cols>
    <col min="1" max="1" width="9.140625" style="239"/>
    <col min="2" max="2" width="58.7109375" style="239" bestFit="1" customWidth="1"/>
    <col min="3" max="6" width="9.140625" style="239"/>
    <col min="7" max="7" width="16.7109375" style="239" customWidth="1"/>
    <col min="8" max="16384" width="9.140625" style="239"/>
  </cols>
  <sheetData>
    <row r="2" spans="2:7" ht="33" x14ac:dyDescent="0.6">
      <c r="B2" s="241" t="s">
        <v>243</v>
      </c>
      <c r="G2" s="243"/>
    </row>
    <row r="3" spans="2:7" x14ac:dyDescent="0.25">
      <c r="B3" s="242"/>
      <c r="F3" s="244" t="s">
        <v>244</v>
      </c>
      <c r="G3" s="240" t="s">
        <v>414</v>
      </c>
    </row>
  </sheetData>
  <conditionalFormatting sqref="A1:XFD1048576">
    <cfRule type="expression" dxfId="28" priority="1">
      <formula>AND(ROW()=ROW(__FocusCell),COLUMN()&lt;&gt;COLUMN(__FocusCell))</formula>
    </cfRule>
    <cfRule type="expression" dxfId="27" priority="2">
      <formula>AND(COLUMN()=COLUMN(__FocusCell),ROW()&lt;&gt;ROW(__FocusCell))</formula>
    </cfRule>
  </conditionalFormatting>
  <dataValidations count="1">
    <dataValidation type="list" allowBlank="1" showInputMessage="1" showErrorMessage="1" sqref="G3" xr:uid="{02EC6057-6A92-49A6-AE86-BBC6EB8CA24B}">
      <formula1>"Light,Dark,Ocean,Midnight,Animated,Animated 2,Animated 3"</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F4A25-841B-48E2-92F8-81C149D92043}">
  <sheetPr codeName="Sheet21"/>
  <dimension ref="A1:AD259"/>
  <sheetViews>
    <sheetView tabSelected="1" workbookViewId="0">
      <pane xSplit="1" ySplit="2" topLeftCell="D228" activePane="bottomRight" state="frozen"/>
      <selection pane="topRight" activeCell="B1" sqref="B1"/>
      <selection pane="bottomLeft" activeCell="A3" sqref="A3"/>
      <selection pane="bottomRight" activeCell="I25" sqref="I25"/>
    </sheetView>
  </sheetViews>
  <sheetFormatPr defaultColWidth="9.140625" defaultRowHeight="15" x14ac:dyDescent="0.25"/>
  <cols>
    <col min="1" max="1" width="6.7109375" style="9" bestFit="1" customWidth="1"/>
    <col min="2" max="2" width="7.42578125" style="11" bestFit="1" customWidth="1"/>
    <col min="3" max="3" width="17.85546875" style="11" bestFit="1" customWidth="1"/>
    <col min="4" max="4" width="16.7109375" style="11" bestFit="1" customWidth="1"/>
    <col min="5" max="5" width="6.140625" style="11" bestFit="1" customWidth="1"/>
    <col min="6" max="6" width="15.42578125" style="11" bestFit="1" customWidth="1"/>
    <col min="7" max="7" width="14.85546875" style="12" bestFit="1" customWidth="1"/>
    <col min="8" max="8" width="10.42578125" style="11" bestFit="1" customWidth="1"/>
    <col min="9" max="9" width="15.42578125" style="11" bestFit="1" customWidth="1"/>
    <col min="10" max="10" width="15" style="13" bestFit="1" customWidth="1"/>
    <col min="11" max="11" width="15.140625" style="11" bestFit="1" customWidth="1"/>
    <col min="12" max="12" width="13.42578125" style="12" bestFit="1" customWidth="1"/>
    <col min="13" max="13" width="14.85546875" style="11" bestFit="1" customWidth="1"/>
    <col min="14" max="14" width="28.5703125" style="11" bestFit="1" customWidth="1"/>
    <col min="15" max="15" width="19.140625" style="11" bestFit="1" customWidth="1"/>
    <col min="16" max="16" width="20.5703125" style="13" bestFit="1" customWidth="1"/>
    <col min="17" max="17" width="44.140625" style="13" bestFit="1" customWidth="1"/>
    <col min="18" max="18" width="14.85546875" style="14" bestFit="1" customWidth="1"/>
    <col min="19" max="19" width="12.140625" style="15" bestFit="1" customWidth="1"/>
    <col min="20" max="20" width="8.7109375" style="144" bestFit="1" customWidth="1"/>
    <col min="21" max="21" width="16.7109375" style="10" bestFit="1" customWidth="1"/>
    <col min="22" max="22" width="17" style="11" bestFit="1" customWidth="1"/>
    <col min="23" max="23" width="15.85546875" style="11" bestFit="1" customWidth="1"/>
    <col min="24" max="24" width="19" style="11" bestFit="1" customWidth="1"/>
    <col min="25" max="25" width="15.7109375" style="11" bestFit="1" customWidth="1"/>
    <col min="26" max="26" width="13.42578125" style="11" bestFit="1" customWidth="1"/>
    <col min="27" max="27" width="14.5703125" style="11" bestFit="1" customWidth="1"/>
    <col min="28" max="28" width="13.28515625" style="13" bestFit="1" customWidth="1"/>
    <col min="29" max="29" width="13.85546875" style="10" bestFit="1" customWidth="1"/>
    <col min="30" max="30" width="11.5703125" style="10" bestFit="1" customWidth="1"/>
    <col min="31" max="31" width="54.7109375" style="10" customWidth="1"/>
    <col min="32" max="16384" width="9.140625" style="10"/>
  </cols>
  <sheetData>
    <row r="1" spans="1:29" customFormat="1" x14ac:dyDescent="0.25">
      <c r="A1" s="22" t="s">
        <v>241</v>
      </c>
      <c r="B1" t="s">
        <v>184</v>
      </c>
      <c r="C1" t="s">
        <v>23</v>
      </c>
      <c r="D1" t="s">
        <v>0</v>
      </c>
      <c r="E1" t="s">
        <v>1</v>
      </c>
      <c r="F1" t="s">
        <v>2</v>
      </c>
      <c r="G1" t="s">
        <v>3</v>
      </c>
      <c r="H1" t="s">
        <v>183</v>
      </c>
      <c r="I1" t="s">
        <v>185</v>
      </c>
      <c r="J1" t="s">
        <v>4</v>
      </c>
      <c r="K1" t="s">
        <v>187</v>
      </c>
      <c r="L1" t="s">
        <v>188</v>
      </c>
      <c r="M1" t="s">
        <v>186</v>
      </c>
      <c r="N1" t="s">
        <v>5</v>
      </c>
      <c r="O1" t="s">
        <v>179</v>
      </c>
      <c r="P1" t="s">
        <v>180</v>
      </c>
      <c r="Q1" t="s">
        <v>189</v>
      </c>
      <c r="R1" t="s">
        <v>190</v>
      </c>
      <c r="S1" t="s">
        <v>191</v>
      </c>
      <c r="T1" t="s">
        <v>192</v>
      </c>
      <c r="U1" t="s">
        <v>193</v>
      </c>
      <c r="V1" t="s">
        <v>194</v>
      </c>
      <c r="W1" t="s">
        <v>195</v>
      </c>
    </row>
    <row r="2" spans="1:29" ht="60" x14ac:dyDescent="0.25">
      <c r="A2" s="152" t="s">
        <v>8</v>
      </c>
      <c r="B2" s="153" t="s">
        <v>184</v>
      </c>
      <c r="C2" s="153" t="s">
        <v>23</v>
      </c>
      <c r="D2" s="153" t="s">
        <v>0</v>
      </c>
      <c r="E2" s="153" t="s">
        <v>1</v>
      </c>
      <c r="F2" s="153" t="s">
        <v>2</v>
      </c>
      <c r="G2" s="153" t="s">
        <v>3</v>
      </c>
      <c r="H2" s="153" t="s">
        <v>183</v>
      </c>
      <c r="I2" s="153" t="s">
        <v>185</v>
      </c>
      <c r="J2" s="153" t="s">
        <v>4</v>
      </c>
      <c r="K2" s="153" t="s">
        <v>16</v>
      </c>
      <c r="L2" s="154" t="s">
        <v>15</v>
      </c>
      <c r="M2" s="153" t="s">
        <v>186</v>
      </c>
      <c r="N2" s="153" t="s">
        <v>5</v>
      </c>
      <c r="O2" s="154" t="s">
        <v>179</v>
      </c>
      <c r="P2" s="154" t="s">
        <v>180</v>
      </c>
      <c r="Q2" s="153" t="s">
        <v>189</v>
      </c>
      <c r="R2" s="154" t="s">
        <v>9</v>
      </c>
      <c r="S2" s="154" t="s">
        <v>13</v>
      </c>
      <c r="T2" s="155" t="s">
        <v>10</v>
      </c>
      <c r="U2" s="154" t="s">
        <v>11</v>
      </c>
      <c r="V2" s="154" t="s">
        <v>12</v>
      </c>
      <c r="W2" s="153" t="s">
        <v>18</v>
      </c>
      <c r="X2" s="154" t="s">
        <v>77</v>
      </c>
      <c r="Y2" s="154" t="s">
        <v>14</v>
      </c>
      <c r="Z2" s="154" t="s">
        <v>142</v>
      </c>
      <c r="AA2" s="153" t="s">
        <v>22</v>
      </c>
      <c r="AB2" s="153" t="s">
        <v>21</v>
      </c>
      <c r="AC2" s="153" t="s">
        <v>242</v>
      </c>
    </row>
    <row r="3" spans="1:29" x14ac:dyDescent="0.25">
      <c r="A3" s="1">
        <v>1</v>
      </c>
      <c r="B3" s="1">
        <f>SUBTOTAL(3,C$3:C3)</f>
        <v>1</v>
      </c>
      <c r="C3" s="6" t="s">
        <v>93</v>
      </c>
      <c r="D3" s="30" t="s">
        <v>27</v>
      </c>
      <c r="E3" s="30" t="s">
        <v>7</v>
      </c>
      <c r="F3" s="54" t="s">
        <v>143</v>
      </c>
      <c r="G3" s="146">
        <v>46114</v>
      </c>
      <c r="H3" s="2" t="s">
        <v>6</v>
      </c>
      <c r="I3" s="57">
        <v>561855.81999999995</v>
      </c>
      <c r="J3" s="149" cm="1">
        <f t="array" ref="J3">_xlfn.IFS(D3="INDUSTOWER","40",D3="RELIANCEIN","44",D3="SIEMENSLTD","120",D3="CLEANMAX","40",D3="AVAADA","40",D3="ARCHTECH","40")+G3</f>
        <v>46154</v>
      </c>
      <c r="K3" s="150">
        <v>46129</v>
      </c>
      <c r="L3" s="149">
        <f t="shared" ref="L3:L110" si="0">+J3+20</f>
        <v>46174</v>
      </c>
      <c r="M3" s="6">
        <v>10001</v>
      </c>
      <c r="N3" s="148">
        <f t="shared" ref="N3:N34" si="1">+G3</f>
        <v>46114</v>
      </c>
      <c r="O3" s="147"/>
      <c r="P3" s="222"/>
      <c r="Q3" s="18" t="s">
        <v>76</v>
      </c>
      <c r="R3" s="18">
        <f t="shared" ref="R3:R83" si="2">+I3*0.9</f>
        <v>505670.23799999995</v>
      </c>
      <c r="S3" s="3">
        <v>7.6999999999999999E-2</v>
      </c>
      <c r="T3" s="145">
        <f t="shared" ref="T3:T83" si="3">+J3-K3+20</f>
        <v>45</v>
      </c>
      <c r="U3" s="4">
        <f t="shared" ref="U3:U82" si="4">ROUND(+R3*S3*T3/365,0)</f>
        <v>4800</v>
      </c>
      <c r="V3" s="4">
        <f t="shared" ref="V3:V82" si="5">+R3-U3</f>
        <v>500870.23799999995</v>
      </c>
      <c r="W3" s="17"/>
      <c r="X3" s="6"/>
      <c r="Y3" s="5"/>
      <c r="Z3" s="94"/>
      <c r="AA3" s="20">
        <f>+L3-W3</f>
        <v>46174</v>
      </c>
      <c r="AB3" s="19">
        <f>ROUND(+U3/T3*AA3,0)</f>
        <v>4925227</v>
      </c>
      <c r="AC3" s="165" cm="1">
        <f t="array" ref="AC3">_xlfn.IFS(D3="INDUSTOWER","275000000",D3="RELIANCEIN","220000000",D3="SIEMENSLTD","83330000")-I3</f>
        <v>274438144.18000001</v>
      </c>
    </row>
    <row r="4" spans="1:29" x14ac:dyDescent="0.25">
      <c r="A4" s="1">
        <v>1</v>
      </c>
      <c r="B4" s="1">
        <f>SUBTOTAL(3,C$3:C4)</f>
        <v>2</v>
      </c>
      <c r="C4" s="6" t="s">
        <v>93</v>
      </c>
      <c r="D4" s="30" t="s">
        <v>27</v>
      </c>
      <c r="E4" s="30" t="s">
        <v>7</v>
      </c>
      <c r="F4" s="54" t="s">
        <v>144</v>
      </c>
      <c r="G4" s="146">
        <v>46114</v>
      </c>
      <c r="H4" s="2" t="s">
        <v>6</v>
      </c>
      <c r="I4" s="57">
        <v>561855.81999999995</v>
      </c>
      <c r="J4" s="149" cm="1">
        <f t="array" ref="J4">_xlfn.IFS(D4="INDUSTOWER","40",D4="RELIANCEIN","44",D4="SIEMENSLTD","120",D4="CLEANMAX","40",D4="AVAADA","40",D4="ARCHTECH","40")+G4</f>
        <v>46154</v>
      </c>
      <c r="K4" s="150">
        <v>46129</v>
      </c>
      <c r="L4" s="149">
        <f t="shared" si="0"/>
        <v>46174</v>
      </c>
      <c r="M4" s="6">
        <v>10003</v>
      </c>
      <c r="N4" s="148">
        <f t="shared" si="1"/>
        <v>46114</v>
      </c>
      <c r="O4" s="147"/>
      <c r="P4" s="223"/>
      <c r="Q4" s="18" t="s">
        <v>76</v>
      </c>
      <c r="R4" s="18">
        <f t="shared" si="2"/>
        <v>505670.23799999995</v>
      </c>
      <c r="S4" s="3">
        <v>7.6999999999999999E-2</v>
      </c>
      <c r="T4" s="145">
        <f t="shared" si="3"/>
        <v>45</v>
      </c>
      <c r="U4" s="4">
        <f t="shared" si="4"/>
        <v>4800</v>
      </c>
      <c r="V4" s="4">
        <f t="shared" si="5"/>
        <v>500870.23799999995</v>
      </c>
      <c r="W4" s="17"/>
      <c r="X4" s="6"/>
      <c r="Y4" s="5"/>
      <c r="Z4" s="94"/>
      <c r="AA4" s="20"/>
      <c r="AB4" s="19"/>
      <c r="AC4" s="165" cm="1">
        <f t="array" ref="AC4">_xlfn.IFS(D4="INDUSTOWER","275000000",D4="RELIANCEIN","220000000",D4="SIEMENSLTD","83330000")-I4</f>
        <v>274438144.18000001</v>
      </c>
    </row>
    <row r="5" spans="1:29" x14ac:dyDescent="0.25">
      <c r="A5" s="1">
        <v>1</v>
      </c>
      <c r="B5" s="1">
        <f>SUBTOTAL(3,C$3:C5)</f>
        <v>3</v>
      </c>
      <c r="C5" s="6" t="s">
        <v>93</v>
      </c>
      <c r="D5" s="30" t="s">
        <v>27</v>
      </c>
      <c r="E5" s="30" t="s">
        <v>7</v>
      </c>
      <c r="F5" s="54" t="s">
        <v>145</v>
      </c>
      <c r="G5" s="146">
        <v>46114</v>
      </c>
      <c r="H5" s="2" t="s">
        <v>6</v>
      </c>
      <c r="I5" s="57">
        <v>561855.81999999995</v>
      </c>
      <c r="J5" s="149" cm="1">
        <f t="array" ref="J5">_xlfn.IFS(D5="INDUSTOWER","40",D5="RELIANCEIN","44",D5="SIEMENSLTD","120",D5="CLEANMAX","40",D5="AVAADA","40",D5="ARCHTECH","40")+G5</f>
        <v>46154</v>
      </c>
      <c r="K5" s="150">
        <v>46129</v>
      </c>
      <c r="L5" s="149">
        <f t="shared" si="0"/>
        <v>46174</v>
      </c>
      <c r="M5" s="6">
        <v>10002</v>
      </c>
      <c r="N5" s="148">
        <f t="shared" si="1"/>
        <v>46114</v>
      </c>
      <c r="O5" s="147"/>
      <c r="P5" s="223"/>
      <c r="Q5" s="18" t="s">
        <v>76</v>
      </c>
      <c r="R5" s="18">
        <f t="shared" si="2"/>
        <v>505670.23799999995</v>
      </c>
      <c r="S5" s="3">
        <v>7.6999999999999999E-2</v>
      </c>
      <c r="T5" s="145">
        <f t="shared" si="3"/>
        <v>45</v>
      </c>
      <c r="U5" s="4">
        <f t="shared" si="4"/>
        <v>4800</v>
      </c>
      <c r="V5" s="4">
        <f t="shared" si="5"/>
        <v>500870.23799999995</v>
      </c>
      <c r="W5" s="17"/>
      <c r="X5" s="6"/>
      <c r="Y5" s="5"/>
      <c r="Z5" s="94"/>
      <c r="AA5" s="20"/>
      <c r="AB5" s="19"/>
      <c r="AC5" s="165" cm="1">
        <f t="array" ref="AC5">_xlfn.IFS(D5="INDUSTOWER","275000000",D5="RELIANCEIN","220000000",D5="SIEMENSLTD","83330000")-I5</f>
        <v>274438144.18000001</v>
      </c>
    </row>
    <row r="6" spans="1:29" x14ac:dyDescent="0.25">
      <c r="A6" s="1">
        <v>1</v>
      </c>
      <c r="B6" s="1">
        <f>SUBTOTAL(3,C$3:C6)</f>
        <v>4</v>
      </c>
      <c r="C6" s="6" t="s">
        <v>93</v>
      </c>
      <c r="D6" s="30" t="s">
        <v>27</v>
      </c>
      <c r="E6" s="30" t="s">
        <v>7</v>
      </c>
      <c r="F6" s="54" t="s">
        <v>146</v>
      </c>
      <c r="G6" s="146">
        <v>46114</v>
      </c>
      <c r="H6" s="2" t="s">
        <v>6</v>
      </c>
      <c r="I6" s="57">
        <v>561855.81999999995</v>
      </c>
      <c r="J6" s="149" cm="1">
        <f t="array" ref="J6">_xlfn.IFS(D6="INDUSTOWER","40",D6="RELIANCEIN","44",D6="SIEMENSLTD","120",D6="CLEANMAX","40",D6="AVAADA","40",D6="ARCHTECH","40")+G6</f>
        <v>46154</v>
      </c>
      <c r="K6" s="150">
        <v>46129</v>
      </c>
      <c r="L6" s="149">
        <f t="shared" si="0"/>
        <v>46174</v>
      </c>
      <c r="M6" s="6">
        <v>10004</v>
      </c>
      <c r="N6" s="148">
        <f t="shared" si="1"/>
        <v>46114</v>
      </c>
      <c r="O6" s="147"/>
      <c r="P6" s="223"/>
      <c r="Q6" s="18" t="s">
        <v>76</v>
      </c>
      <c r="R6" s="18">
        <f t="shared" si="2"/>
        <v>505670.23799999995</v>
      </c>
      <c r="S6" s="3">
        <v>7.6999999999999999E-2</v>
      </c>
      <c r="T6" s="145">
        <f t="shared" si="3"/>
        <v>45</v>
      </c>
      <c r="U6" s="4">
        <f t="shared" si="4"/>
        <v>4800</v>
      </c>
      <c r="V6" s="4">
        <f t="shared" si="5"/>
        <v>500870.23799999995</v>
      </c>
      <c r="W6" s="17"/>
      <c r="X6" s="6"/>
      <c r="Y6" s="5"/>
      <c r="Z6" s="94"/>
      <c r="AA6" s="20"/>
      <c r="AB6" s="19"/>
      <c r="AC6" s="165" cm="1">
        <f t="array" ref="AC6">_xlfn.IFS(D6="INDUSTOWER","275000000",D6="RELIANCEIN","220000000",D6="SIEMENSLTD","83330000")-I6</f>
        <v>274438144.18000001</v>
      </c>
    </row>
    <row r="7" spans="1:29" x14ac:dyDescent="0.25">
      <c r="A7" s="1">
        <v>1</v>
      </c>
      <c r="B7" s="1">
        <f>SUBTOTAL(3,C$3:C7)</f>
        <v>5</v>
      </c>
      <c r="C7" s="6" t="s">
        <v>93</v>
      </c>
      <c r="D7" s="30" t="s">
        <v>27</v>
      </c>
      <c r="E7" s="30" t="s">
        <v>7</v>
      </c>
      <c r="F7" s="54" t="s">
        <v>147</v>
      </c>
      <c r="G7" s="146">
        <v>46115</v>
      </c>
      <c r="H7" s="2" t="s">
        <v>6</v>
      </c>
      <c r="I7" s="57">
        <v>561855.81999999995</v>
      </c>
      <c r="J7" s="149" cm="1">
        <f t="array" ref="J7">_xlfn.IFS(D7="INDUSTOWER","40",D7="RELIANCEIN","44",D7="SIEMENSLTD","120",D7="CLEANMAX","40",D7="AVAADA","40",D7="ARCHTECH","40")+G7</f>
        <v>46155</v>
      </c>
      <c r="K7" s="150">
        <v>46129</v>
      </c>
      <c r="L7" s="149">
        <f t="shared" si="0"/>
        <v>46175</v>
      </c>
      <c r="M7" s="6">
        <v>10005</v>
      </c>
      <c r="N7" s="148">
        <f t="shared" si="1"/>
        <v>46115</v>
      </c>
      <c r="O7" s="147"/>
      <c r="P7" s="223"/>
      <c r="Q7" s="18" t="s">
        <v>76</v>
      </c>
      <c r="R7" s="18">
        <f t="shared" si="2"/>
        <v>505670.23799999995</v>
      </c>
      <c r="S7" s="3">
        <v>7.6999999999999999E-2</v>
      </c>
      <c r="T7" s="145">
        <f t="shared" si="3"/>
        <v>46</v>
      </c>
      <c r="U7" s="4">
        <f t="shared" si="4"/>
        <v>4907</v>
      </c>
      <c r="V7" s="4">
        <f t="shared" si="5"/>
        <v>500763.23799999995</v>
      </c>
      <c r="W7" s="17"/>
      <c r="X7" s="6"/>
      <c r="Y7" s="5"/>
      <c r="Z7" s="94"/>
      <c r="AA7" s="20"/>
      <c r="AB7" s="19"/>
      <c r="AC7" s="165" cm="1">
        <f t="array" ref="AC7">_xlfn.IFS(D7="INDUSTOWER","275000000",D7="RELIANCEIN","220000000",D7="SIEMENSLTD","83330000")-I7</f>
        <v>274438144.18000001</v>
      </c>
    </row>
    <row r="8" spans="1:29" x14ac:dyDescent="0.25">
      <c r="A8" s="1">
        <v>1</v>
      </c>
      <c r="B8" s="1">
        <f>SUBTOTAL(3,C$3:C8)</f>
        <v>6</v>
      </c>
      <c r="C8" s="6" t="s">
        <v>93</v>
      </c>
      <c r="D8" s="30" t="s">
        <v>27</v>
      </c>
      <c r="E8" s="30" t="s">
        <v>7</v>
      </c>
      <c r="F8" s="54" t="s">
        <v>148</v>
      </c>
      <c r="G8" s="146">
        <v>46115</v>
      </c>
      <c r="H8" s="2" t="s">
        <v>6</v>
      </c>
      <c r="I8" s="57">
        <v>561855.81999999995</v>
      </c>
      <c r="J8" s="149" cm="1">
        <f t="array" ref="J8">_xlfn.IFS(D8="INDUSTOWER","40",D8="RELIANCEIN","44",D8="SIEMENSLTD","120",D8="CLEANMAX","40",D8="AVAADA","40",D8="ARCHTECH","40")+G8</f>
        <v>46155</v>
      </c>
      <c r="K8" s="150">
        <v>46129</v>
      </c>
      <c r="L8" s="149">
        <f t="shared" si="0"/>
        <v>46175</v>
      </c>
      <c r="M8" s="6">
        <v>10006</v>
      </c>
      <c r="N8" s="148">
        <f t="shared" si="1"/>
        <v>46115</v>
      </c>
      <c r="O8" s="147"/>
      <c r="P8" s="223"/>
      <c r="Q8" s="18" t="s">
        <v>76</v>
      </c>
      <c r="R8" s="18">
        <f t="shared" si="2"/>
        <v>505670.23799999995</v>
      </c>
      <c r="S8" s="3">
        <v>7.6999999999999999E-2</v>
      </c>
      <c r="T8" s="145">
        <f t="shared" si="3"/>
        <v>46</v>
      </c>
      <c r="U8" s="4">
        <f t="shared" si="4"/>
        <v>4907</v>
      </c>
      <c r="V8" s="4">
        <f t="shared" si="5"/>
        <v>500763.23799999995</v>
      </c>
      <c r="W8" s="17"/>
      <c r="X8" s="6"/>
      <c r="Y8" s="5"/>
      <c r="Z8" s="94"/>
      <c r="AA8" s="20"/>
      <c r="AB8" s="19"/>
      <c r="AC8" s="165" cm="1">
        <f t="array" ref="AC8">_xlfn.IFS(D8="INDUSTOWER","275000000",D8="RELIANCEIN","220000000",D8="SIEMENSLTD","83330000")-I8</f>
        <v>274438144.18000001</v>
      </c>
    </row>
    <row r="9" spans="1:29" x14ac:dyDescent="0.25">
      <c r="A9" s="1">
        <v>1</v>
      </c>
      <c r="B9" s="1">
        <f>SUBTOTAL(3,C$3:C9)</f>
        <v>7</v>
      </c>
      <c r="C9" s="6" t="s">
        <v>93</v>
      </c>
      <c r="D9" s="30" t="s">
        <v>27</v>
      </c>
      <c r="E9" s="30" t="s">
        <v>7</v>
      </c>
      <c r="F9" s="54" t="s">
        <v>149</v>
      </c>
      <c r="G9" s="146">
        <v>46115</v>
      </c>
      <c r="H9" s="2" t="s">
        <v>6</v>
      </c>
      <c r="I9" s="57">
        <v>442595.58</v>
      </c>
      <c r="J9" s="149" cm="1">
        <f t="array" ref="J9">_xlfn.IFS(D9="INDUSTOWER","40",D9="RELIANCEIN","44",D9="SIEMENSLTD","120",D9="CLEANMAX","40",D9="AVAADA","40",D9="ARCHTECH","40")+G9</f>
        <v>46155</v>
      </c>
      <c r="K9" s="150">
        <v>46129</v>
      </c>
      <c r="L9" s="149">
        <f t="shared" si="0"/>
        <v>46175</v>
      </c>
      <c r="M9" s="6">
        <v>10007</v>
      </c>
      <c r="N9" s="148">
        <f t="shared" si="1"/>
        <v>46115</v>
      </c>
      <c r="O9" s="147"/>
      <c r="P9" s="223"/>
      <c r="Q9" s="18" t="s">
        <v>36</v>
      </c>
      <c r="R9" s="18">
        <f t="shared" si="2"/>
        <v>398336.022</v>
      </c>
      <c r="S9" s="3">
        <v>7.6999999999999999E-2</v>
      </c>
      <c r="T9" s="145">
        <f t="shared" si="3"/>
        <v>46</v>
      </c>
      <c r="U9" s="4">
        <f t="shared" si="4"/>
        <v>3865</v>
      </c>
      <c r="V9" s="4">
        <f t="shared" si="5"/>
        <v>394471.022</v>
      </c>
      <c r="W9" s="17"/>
      <c r="X9" s="6"/>
      <c r="Y9" s="5"/>
      <c r="Z9" s="94"/>
      <c r="AA9" s="20"/>
      <c r="AB9" s="19"/>
      <c r="AC9" s="165" cm="1">
        <f t="array" ref="AC9">_xlfn.IFS(D9="INDUSTOWER","275000000",D9="RELIANCEIN","220000000",D9="SIEMENSLTD","83330000")-I9</f>
        <v>274557404.42000002</v>
      </c>
    </row>
    <row r="10" spans="1:29" x14ac:dyDescent="0.25">
      <c r="A10" s="1">
        <v>1</v>
      </c>
      <c r="B10" s="1">
        <f>SUBTOTAL(3,C$3:C10)</f>
        <v>8</v>
      </c>
      <c r="C10" s="6" t="s">
        <v>93</v>
      </c>
      <c r="D10" s="30" t="s">
        <v>27</v>
      </c>
      <c r="E10" s="30" t="s">
        <v>7</v>
      </c>
      <c r="F10" s="54" t="s">
        <v>150</v>
      </c>
      <c r="G10" s="146">
        <v>46117</v>
      </c>
      <c r="H10" s="2" t="s">
        <v>6</v>
      </c>
      <c r="I10" s="57">
        <v>752314.9</v>
      </c>
      <c r="J10" s="149" cm="1">
        <f t="array" ref="J10">_xlfn.IFS(D10="INDUSTOWER","40",D10="RELIANCEIN","44",D10="SIEMENSLTD","120",D10="CLEANMAX","40",D10="AVAADA","40",D10="ARCHTECH","40")+G10</f>
        <v>46157</v>
      </c>
      <c r="K10" s="150">
        <v>46129</v>
      </c>
      <c r="L10" s="149">
        <f t="shared" si="0"/>
        <v>46177</v>
      </c>
      <c r="M10" s="6">
        <v>78287</v>
      </c>
      <c r="N10" s="148">
        <f t="shared" si="1"/>
        <v>46117</v>
      </c>
      <c r="O10" s="147"/>
      <c r="P10" s="223"/>
      <c r="Q10" s="18" t="s">
        <v>52</v>
      </c>
      <c r="R10" s="18">
        <f t="shared" si="2"/>
        <v>677083.41</v>
      </c>
      <c r="S10" s="3">
        <v>7.6999999999999999E-2</v>
      </c>
      <c r="T10" s="145">
        <f t="shared" si="3"/>
        <v>48</v>
      </c>
      <c r="U10" s="4">
        <f t="shared" si="4"/>
        <v>6856</v>
      </c>
      <c r="V10" s="4">
        <f t="shared" si="5"/>
        <v>670227.41</v>
      </c>
      <c r="W10" s="17"/>
      <c r="X10" s="6"/>
      <c r="Y10" s="5"/>
      <c r="Z10" s="94"/>
      <c r="AA10" s="20"/>
      <c r="AB10" s="19"/>
      <c r="AC10" s="165" cm="1">
        <f t="array" ref="AC10">_xlfn.IFS(D10="INDUSTOWER","275000000",D10="RELIANCEIN","220000000",D10="SIEMENSLTD","83330000")-I10</f>
        <v>274247685.10000002</v>
      </c>
    </row>
    <row r="11" spans="1:29" x14ac:dyDescent="0.25">
      <c r="A11" s="1">
        <v>1</v>
      </c>
      <c r="B11" s="1">
        <f>SUBTOTAL(3,C$3:C11)</f>
        <v>9</v>
      </c>
      <c r="C11" s="6" t="s">
        <v>93</v>
      </c>
      <c r="D11" s="30" t="s">
        <v>27</v>
      </c>
      <c r="E11" s="30" t="s">
        <v>7</v>
      </c>
      <c r="F11" s="54" t="s">
        <v>151</v>
      </c>
      <c r="G11" s="146">
        <v>46117</v>
      </c>
      <c r="H11" s="2" t="s">
        <v>6</v>
      </c>
      <c r="I11" s="57">
        <v>689850.92</v>
      </c>
      <c r="J11" s="149" cm="1">
        <f t="array" ref="J11">_xlfn.IFS(D11="INDUSTOWER","40",D11="RELIANCEIN","44",D11="SIEMENSLTD","120",D11="CLEANMAX","40",D11="AVAADA","40",D11="ARCHTECH","40")+G11</f>
        <v>46157</v>
      </c>
      <c r="K11" s="150">
        <v>46129</v>
      </c>
      <c r="L11" s="149">
        <f t="shared" si="0"/>
        <v>46177</v>
      </c>
      <c r="M11" s="6">
        <v>10010</v>
      </c>
      <c r="N11" s="148">
        <f t="shared" si="1"/>
        <v>46117</v>
      </c>
      <c r="O11" s="147"/>
      <c r="P11" s="223"/>
      <c r="Q11" s="18" t="s">
        <v>31</v>
      </c>
      <c r="R11" s="18">
        <f t="shared" si="2"/>
        <v>620865.8280000001</v>
      </c>
      <c r="S11" s="3">
        <v>7.6999999999999999E-2</v>
      </c>
      <c r="T11" s="145">
        <f t="shared" si="3"/>
        <v>48</v>
      </c>
      <c r="U11" s="4">
        <f t="shared" si="4"/>
        <v>6287</v>
      </c>
      <c r="V11" s="4">
        <f t="shared" si="5"/>
        <v>614578.8280000001</v>
      </c>
      <c r="W11" s="17"/>
      <c r="X11" s="6"/>
      <c r="Y11" s="5"/>
      <c r="Z11" s="94"/>
      <c r="AA11" s="20"/>
      <c r="AB11" s="19"/>
      <c r="AC11" s="165" cm="1">
        <f t="array" ref="AC11">_xlfn.IFS(D11="INDUSTOWER","275000000",D11="RELIANCEIN","220000000",D11="SIEMENSLTD","83330000")-I11</f>
        <v>274310149.07999998</v>
      </c>
    </row>
    <row r="12" spans="1:29" x14ac:dyDescent="0.25">
      <c r="A12" s="1">
        <v>1</v>
      </c>
      <c r="B12" s="1">
        <f>SUBTOTAL(3,C$3:C12)</f>
        <v>10</v>
      </c>
      <c r="C12" s="6" t="s">
        <v>93</v>
      </c>
      <c r="D12" s="30" t="s">
        <v>27</v>
      </c>
      <c r="E12" s="30" t="s">
        <v>7</v>
      </c>
      <c r="F12" s="54" t="s">
        <v>152</v>
      </c>
      <c r="G12" s="146">
        <v>46117</v>
      </c>
      <c r="H12" s="2" t="s">
        <v>6</v>
      </c>
      <c r="I12" s="57">
        <v>689850.92</v>
      </c>
      <c r="J12" s="149" cm="1">
        <f t="array" ref="J12">_xlfn.IFS(D12="INDUSTOWER","40",D12="RELIANCEIN","44",D12="SIEMENSLTD","120",D12="CLEANMAX","40",D12="AVAADA","40",D12="ARCHTECH","40")+G12</f>
        <v>46157</v>
      </c>
      <c r="K12" s="150">
        <v>46129</v>
      </c>
      <c r="L12" s="149">
        <f t="shared" si="0"/>
        <v>46177</v>
      </c>
      <c r="M12" s="6">
        <v>10011</v>
      </c>
      <c r="N12" s="148">
        <f t="shared" si="1"/>
        <v>46117</v>
      </c>
      <c r="O12" s="147"/>
      <c r="P12" s="223"/>
      <c r="Q12" s="18" t="s">
        <v>31</v>
      </c>
      <c r="R12" s="18">
        <f t="shared" si="2"/>
        <v>620865.8280000001</v>
      </c>
      <c r="S12" s="3">
        <v>7.6999999999999999E-2</v>
      </c>
      <c r="T12" s="145">
        <f t="shared" si="3"/>
        <v>48</v>
      </c>
      <c r="U12" s="4">
        <f t="shared" si="4"/>
        <v>6287</v>
      </c>
      <c r="V12" s="4">
        <f t="shared" si="5"/>
        <v>614578.8280000001</v>
      </c>
      <c r="W12" s="17"/>
      <c r="X12" s="6"/>
      <c r="Y12" s="5"/>
      <c r="Z12" s="94"/>
      <c r="AA12" s="20"/>
      <c r="AB12" s="19"/>
      <c r="AC12" s="165" cm="1">
        <f t="array" ref="AC12">_xlfn.IFS(D12="INDUSTOWER","275000000",D12="RELIANCEIN","220000000",D12="SIEMENSLTD","83330000")-I12</f>
        <v>274310149.07999998</v>
      </c>
    </row>
    <row r="13" spans="1:29" x14ac:dyDescent="0.25">
      <c r="A13" s="1">
        <v>1</v>
      </c>
      <c r="B13" s="1">
        <f>SUBTOTAL(3,C$3:C13)</f>
        <v>11</v>
      </c>
      <c r="C13" s="6" t="s">
        <v>93</v>
      </c>
      <c r="D13" s="30" t="s">
        <v>27</v>
      </c>
      <c r="E13" s="30" t="s">
        <v>7</v>
      </c>
      <c r="F13" s="54" t="s">
        <v>153</v>
      </c>
      <c r="G13" s="146">
        <v>46117</v>
      </c>
      <c r="H13" s="2" t="s">
        <v>6</v>
      </c>
      <c r="I13" s="57">
        <v>232106</v>
      </c>
      <c r="J13" s="149" cm="1">
        <f t="array" ref="J13">_xlfn.IFS(D13="INDUSTOWER","40",D13="RELIANCEIN","44",D13="SIEMENSLTD","120",D13="CLEANMAX","40",D13="AVAADA","40",D13="ARCHTECH","40")+G13</f>
        <v>46157</v>
      </c>
      <c r="K13" s="150">
        <v>46129</v>
      </c>
      <c r="L13" s="149">
        <f t="shared" si="0"/>
        <v>46177</v>
      </c>
      <c r="M13" s="6">
        <v>10014</v>
      </c>
      <c r="N13" s="148">
        <f t="shared" si="1"/>
        <v>46117</v>
      </c>
      <c r="O13" s="147"/>
      <c r="P13" s="223"/>
      <c r="Q13" s="18" t="s">
        <v>127</v>
      </c>
      <c r="R13" s="18">
        <f t="shared" si="2"/>
        <v>208895.4</v>
      </c>
      <c r="S13" s="3">
        <v>7.6999999999999999E-2</v>
      </c>
      <c r="T13" s="145">
        <f t="shared" si="3"/>
        <v>48</v>
      </c>
      <c r="U13" s="4">
        <f t="shared" si="4"/>
        <v>2115</v>
      </c>
      <c r="V13" s="4">
        <f t="shared" si="5"/>
        <v>206780.4</v>
      </c>
      <c r="W13" s="17"/>
      <c r="X13" s="6"/>
      <c r="Y13" s="5"/>
      <c r="Z13" s="94"/>
      <c r="AA13" s="20"/>
      <c r="AB13" s="19"/>
      <c r="AC13" s="165" cm="1">
        <f t="array" ref="AC13">_xlfn.IFS(D13="INDUSTOWER","275000000",D13="RELIANCEIN","220000000",D13="SIEMENSLTD","83330000")-I13</f>
        <v>274767894</v>
      </c>
    </row>
    <row r="14" spans="1:29" x14ac:dyDescent="0.25">
      <c r="A14" s="1">
        <v>2</v>
      </c>
      <c r="B14" s="1">
        <f>SUBTOTAL(3,C$3:C14)</f>
        <v>12</v>
      </c>
      <c r="C14" s="6" t="s">
        <v>93</v>
      </c>
      <c r="D14" s="30" t="s">
        <v>27</v>
      </c>
      <c r="E14" s="30" t="s">
        <v>7</v>
      </c>
      <c r="F14" s="54" t="s">
        <v>154</v>
      </c>
      <c r="G14" s="146">
        <v>46118</v>
      </c>
      <c r="H14" s="2" t="s">
        <v>6</v>
      </c>
      <c r="I14" s="57">
        <v>647363.34</v>
      </c>
      <c r="J14" s="149" cm="1">
        <f t="array" ref="J14">_xlfn.IFS(D14="INDUSTOWER","40",D14="RELIANCEIN","44",D14="SIEMENSLTD","120",D14="CLEANMAX","40",D14="AVAADA","40",D14="ARCHTECH","40")+G14</f>
        <v>46158</v>
      </c>
      <c r="K14" s="150">
        <v>46129</v>
      </c>
      <c r="L14" s="149">
        <f t="shared" si="0"/>
        <v>46178</v>
      </c>
      <c r="M14" s="6">
        <v>10016</v>
      </c>
      <c r="N14" s="148">
        <f t="shared" si="1"/>
        <v>46118</v>
      </c>
      <c r="O14" s="147"/>
      <c r="P14" s="223"/>
      <c r="Q14" s="18" t="s">
        <v>70</v>
      </c>
      <c r="R14" s="18">
        <f t="shared" si="2"/>
        <v>582627.00599999994</v>
      </c>
      <c r="S14" s="3">
        <v>7.6999999999999999E-2</v>
      </c>
      <c r="T14" s="145">
        <f t="shared" si="3"/>
        <v>49</v>
      </c>
      <c r="U14" s="4">
        <f t="shared" si="4"/>
        <v>6023</v>
      </c>
      <c r="V14" s="4">
        <f t="shared" si="5"/>
        <v>576604.00599999994</v>
      </c>
      <c r="W14" s="17"/>
      <c r="X14" s="6"/>
      <c r="Y14" s="5"/>
      <c r="Z14" s="94"/>
      <c r="AA14" s="20"/>
      <c r="AB14" s="19"/>
      <c r="AC14" s="165" cm="1">
        <f t="array" ref="AC14">_xlfn.IFS(D14="INDUSTOWER","275000000",D14="RELIANCEIN","220000000",D14="SIEMENSLTD","83330000")-I14</f>
        <v>274352636.66000003</v>
      </c>
    </row>
    <row r="15" spans="1:29" x14ac:dyDescent="0.25">
      <c r="A15" s="1">
        <v>2</v>
      </c>
      <c r="B15" s="1">
        <f>SUBTOTAL(3,C$3:C15)</f>
        <v>13</v>
      </c>
      <c r="C15" s="6" t="s">
        <v>93</v>
      </c>
      <c r="D15" s="30" t="s">
        <v>27</v>
      </c>
      <c r="E15" s="30" t="s">
        <v>7</v>
      </c>
      <c r="F15" s="54" t="s">
        <v>155</v>
      </c>
      <c r="G15" s="146">
        <v>46118</v>
      </c>
      <c r="H15" s="2" t="s">
        <v>6</v>
      </c>
      <c r="I15" s="57">
        <v>647363.34</v>
      </c>
      <c r="J15" s="149" cm="1">
        <f t="array" ref="J15">_xlfn.IFS(D15="INDUSTOWER","40",D15="RELIANCEIN","44",D15="SIEMENSLTD","120",D15="CLEANMAX","40",D15="AVAADA","40",D15="ARCHTECH","40")+G15</f>
        <v>46158</v>
      </c>
      <c r="K15" s="150">
        <v>46129</v>
      </c>
      <c r="L15" s="149">
        <f t="shared" si="0"/>
        <v>46178</v>
      </c>
      <c r="M15" s="6">
        <v>10017</v>
      </c>
      <c r="N15" s="148">
        <f t="shared" si="1"/>
        <v>46118</v>
      </c>
      <c r="O15" s="147"/>
      <c r="P15" s="223"/>
      <c r="Q15" s="18" t="s">
        <v>70</v>
      </c>
      <c r="R15" s="18">
        <f t="shared" si="2"/>
        <v>582627.00599999994</v>
      </c>
      <c r="S15" s="3">
        <v>7.6999999999999999E-2</v>
      </c>
      <c r="T15" s="145">
        <f t="shared" si="3"/>
        <v>49</v>
      </c>
      <c r="U15" s="4">
        <f t="shared" si="4"/>
        <v>6023</v>
      </c>
      <c r="V15" s="4">
        <f t="shared" si="5"/>
        <v>576604.00599999994</v>
      </c>
      <c r="W15" s="17"/>
      <c r="X15" s="6"/>
      <c r="Y15" s="5"/>
      <c r="Z15" s="94"/>
      <c r="AA15" s="20"/>
      <c r="AB15" s="19"/>
      <c r="AC15" s="165" cm="1">
        <f t="array" ref="AC15">_xlfn.IFS(D15="INDUSTOWER","275000000",D15="RELIANCEIN","220000000",D15="SIEMENSLTD","83330000")-I15</f>
        <v>274352636.66000003</v>
      </c>
    </row>
    <row r="16" spans="1:29" x14ac:dyDescent="0.25">
      <c r="A16" s="1">
        <v>2</v>
      </c>
      <c r="B16" s="1">
        <f>SUBTOTAL(3,C$3:C16)</f>
        <v>14</v>
      </c>
      <c r="C16" s="6" t="s">
        <v>93</v>
      </c>
      <c r="D16" s="30" t="s">
        <v>27</v>
      </c>
      <c r="E16" s="30" t="s">
        <v>7</v>
      </c>
      <c r="F16" s="54" t="s">
        <v>156</v>
      </c>
      <c r="G16" s="146">
        <v>46118</v>
      </c>
      <c r="H16" s="2" t="s">
        <v>6</v>
      </c>
      <c r="I16" s="57">
        <v>647363.34</v>
      </c>
      <c r="J16" s="149" cm="1">
        <f t="array" ref="J16">_xlfn.IFS(D16="INDUSTOWER","40",D16="RELIANCEIN","44",D16="SIEMENSLTD","120",D16="CLEANMAX","40",D16="AVAADA","40",D16="ARCHTECH","40")+G16</f>
        <v>46158</v>
      </c>
      <c r="K16" s="150">
        <v>46129</v>
      </c>
      <c r="L16" s="149">
        <f t="shared" si="0"/>
        <v>46178</v>
      </c>
      <c r="M16" s="6">
        <v>10018</v>
      </c>
      <c r="N16" s="148">
        <f t="shared" si="1"/>
        <v>46118</v>
      </c>
      <c r="O16" s="147"/>
      <c r="P16" s="223"/>
      <c r="Q16" s="18" t="s">
        <v>70</v>
      </c>
      <c r="R16" s="18">
        <f t="shared" si="2"/>
        <v>582627.00599999994</v>
      </c>
      <c r="S16" s="3">
        <v>7.6999999999999999E-2</v>
      </c>
      <c r="T16" s="145">
        <f t="shared" si="3"/>
        <v>49</v>
      </c>
      <c r="U16" s="4">
        <f t="shared" si="4"/>
        <v>6023</v>
      </c>
      <c r="V16" s="4">
        <f t="shared" si="5"/>
        <v>576604.00599999994</v>
      </c>
      <c r="W16" s="17"/>
      <c r="X16" s="6"/>
      <c r="Y16" s="5"/>
      <c r="Z16" s="94"/>
      <c r="AA16" s="20"/>
      <c r="AB16" s="19"/>
      <c r="AC16" s="165" cm="1">
        <f t="array" ref="AC16">_xlfn.IFS(D16="INDUSTOWER","275000000",D16="RELIANCEIN","220000000",D16="SIEMENSLTD","83330000")-I16</f>
        <v>274352636.66000003</v>
      </c>
    </row>
    <row r="17" spans="1:29" x14ac:dyDescent="0.25">
      <c r="A17" s="1">
        <v>2</v>
      </c>
      <c r="B17" s="1">
        <f>SUBTOTAL(3,C$3:C17)</f>
        <v>15</v>
      </c>
      <c r="C17" s="6" t="s">
        <v>93</v>
      </c>
      <c r="D17" s="30" t="s">
        <v>27</v>
      </c>
      <c r="E17" s="30" t="s">
        <v>7</v>
      </c>
      <c r="F17" s="54" t="s">
        <v>157</v>
      </c>
      <c r="G17" s="146">
        <v>46118</v>
      </c>
      <c r="H17" s="2" t="s">
        <v>6</v>
      </c>
      <c r="I17" s="57">
        <v>647363.34</v>
      </c>
      <c r="J17" s="149" cm="1">
        <f t="array" ref="J17">_xlfn.IFS(D17="INDUSTOWER","40",D17="RELIANCEIN","44",D17="SIEMENSLTD","120",D17="CLEANMAX","40",D17="AVAADA","40",D17="ARCHTECH","40")+G17</f>
        <v>46158</v>
      </c>
      <c r="K17" s="150">
        <v>46129</v>
      </c>
      <c r="L17" s="149">
        <f t="shared" si="0"/>
        <v>46178</v>
      </c>
      <c r="M17" s="6">
        <v>10019</v>
      </c>
      <c r="N17" s="148">
        <f t="shared" si="1"/>
        <v>46118</v>
      </c>
      <c r="O17" s="147"/>
      <c r="P17" s="223"/>
      <c r="Q17" s="18" t="s">
        <v>70</v>
      </c>
      <c r="R17" s="18">
        <f t="shared" si="2"/>
        <v>582627.00599999994</v>
      </c>
      <c r="S17" s="3">
        <v>7.6999999999999999E-2</v>
      </c>
      <c r="T17" s="145">
        <f t="shared" si="3"/>
        <v>49</v>
      </c>
      <c r="U17" s="4">
        <f t="shared" si="4"/>
        <v>6023</v>
      </c>
      <c r="V17" s="4">
        <f t="shared" si="5"/>
        <v>576604.00599999994</v>
      </c>
      <c r="W17" s="17"/>
      <c r="X17" s="6"/>
      <c r="Y17" s="5"/>
      <c r="Z17" s="94"/>
      <c r="AA17" s="20"/>
      <c r="AB17" s="19"/>
      <c r="AC17" s="165" cm="1">
        <f t="array" ref="AC17">_xlfn.IFS(D17="INDUSTOWER","275000000",D17="RELIANCEIN","220000000",D17="SIEMENSLTD","83330000")-I17</f>
        <v>274352636.66000003</v>
      </c>
    </row>
    <row r="18" spans="1:29" x14ac:dyDescent="0.25">
      <c r="A18" s="1">
        <v>3</v>
      </c>
      <c r="B18" s="1">
        <f>SUBTOTAL(3,C$3:C18)</f>
        <v>16</v>
      </c>
      <c r="C18" s="6" t="s">
        <v>93</v>
      </c>
      <c r="D18" s="30" t="s">
        <v>27</v>
      </c>
      <c r="E18" s="30" t="s">
        <v>7</v>
      </c>
      <c r="F18" s="54" t="s">
        <v>158</v>
      </c>
      <c r="G18" s="146">
        <v>46120</v>
      </c>
      <c r="H18" s="2" t="s">
        <v>6</v>
      </c>
      <c r="I18" s="57">
        <v>647363.34</v>
      </c>
      <c r="J18" s="149" cm="1">
        <f t="array" ref="J18">_xlfn.IFS(D18="INDUSTOWER","40",D18="RELIANCEIN","44",D18="SIEMENSLTD","120",D18="CLEANMAX","40",D18="AVAADA","40",D18="ARCHTECH","40")+G18</f>
        <v>46160</v>
      </c>
      <c r="K18" s="150">
        <v>46129</v>
      </c>
      <c r="L18" s="149">
        <f t="shared" si="0"/>
        <v>46180</v>
      </c>
      <c r="M18" s="6">
        <v>10020</v>
      </c>
      <c r="N18" s="148">
        <f t="shared" si="1"/>
        <v>46120</v>
      </c>
      <c r="O18" s="147"/>
      <c r="P18" s="223"/>
      <c r="Q18" s="18" t="s">
        <v>70</v>
      </c>
      <c r="R18" s="18">
        <f t="shared" si="2"/>
        <v>582627.00599999994</v>
      </c>
      <c r="S18" s="3">
        <v>7.6999999999999999E-2</v>
      </c>
      <c r="T18" s="145">
        <f t="shared" si="3"/>
        <v>51</v>
      </c>
      <c r="U18" s="4">
        <f t="shared" si="4"/>
        <v>6268</v>
      </c>
      <c r="V18" s="4">
        <f t="shared" si="5"/>
        <v>576359.00599999994</v>
      </c>
      <c r="W18" s="17"/>
      <c r="X18" s="6"/>
      <c r="Y18" s="5"/>
      <c r="Z18" s="94"/>
      <c r="AA18" s="20"/>
      <c r="AB18" s="19"/>
      <c r="AC18" s="165" cm="1">
        <f t="array" ref="AC18">_xlfn.IFS(D18="INDUSTOWER","275000000",D18="RELIANCEIN","220000000",D18="SIEMENSLTD","83330000")-I18</f>
        <v>274352636.66000003</v>
      </c>
    </row>
    <row r="19" spans="1:29" x14ac:dyDescent="0.25">
      <c r="A19" s="1">
        <v>3</v>
      </c>
      <c r="B19" s="1">
        <f>SUBTOTAL(3,C$3:C19)</f>
        <v>17</v>
      </c>
      <c r="C19" s="6" t="s">
        <v>93</v>
      </c>
      <c r="D19" s="30" t="s">
        <v>27</v>
      </c>
      <c r="E19" s="30" t="s">
        <v>7</v>
      </c>
      <c r="F19" s="54" t="s">
        <v>159</v>
      </c>
      <c r="G19" s="146">
        <v>46122</v>
      </c>
      <c r="H19" s="2" t="s">
        <v>6</v>
      </c>
      <c r="I19" s="57">
        <v>774998.04</v>
      </c>
      <c r="J19" s="149" cm="1">
        <f t="array" ref="J19">_xlfn.IFS(D19="INDUSTOWER","40",D19="RELIANCEIN","44",D19="SIEMENSLTD","120",D19="CLEANMAX","40",D19="AVAADA","40",D19="ARCHTECH","40")+G19</f>
        <v>46162</v>
      </c>
      <c r="K19" s="150">
        <v>46129</v>
      </c>
      <c r="L19" s="149">
        <f t="shared" si="0"/>
        <v>46182</v>
      </c>
      <c r="M19" s="6">
        <v>778</v>
      </c>
      <c r="N19" s="148">
        <f t="shared" si="1"/>
        <v>46122</v>
      </c>
      <c r="O19" s="147"/>
      <c r="P19" s="223"/>
      <c r="Q19" s="18" t="s">
        <v>52</v>
      </c>
      <c r="R19" s="18">
        <f t="shared" si="2"/>
        <v>697498.23600000003</v>
      </c>
      <c r="S19" s="3">
        <v>7.6999999999999999E-2</v>
      </c>
      <c r="T19" s="145">
        <f t="shared" si="3"/>
        <v>53</v>
      </c>
      <c r="U19" s="4">
        <f t="shared" si="4"/>
        <v>7799</v>
      </c>
      <c r="V19" s="4">
        <f t="shared" si="5"/>
        <v>689699.23600000003</v>
      </c>
      <c r="W19" s="17"/>
      <c r="X19" s="6"/>
      <c r="Y19" s="5"/>
      <c r="Z19" s="94"/>
      <c r="AA19" s="20"/>
      <c r="AB19" s="19"/>
      <c r="AC19" s="165" cm="1">
        <f t="array" ref="AC19">_xlfn.IFS(D19="INDUSTOWER","275000000",D19="RELIANCEIN","220000000",D19="SIEMENSLTD","83330000")-I19</f>
        <v>274225001.95999998</v>
      </c>
    </row>
    <row r="20" spans="1:29" x14ac:dyDescent="0.25">
      <c r="A20" s="1">
        <v>3</v>
      </c>
      <c r="B20" s="1">
        <f>SUBTOTAL(3,C$3:C20)</f>
        <v>18</v>
      </c>
      <c r="C20" s="6" t="s">
        <v>93</v>
      </c>
      <c r="D20" s="30" t="s">
        <v>27</v>
      </c>
      <c r="E20" s="30" t="s">
        <v>7</v>
      </c>
      <c r="F20" s="54" t="s">
        <v>160</v>
      </c>
      <c r="G20" s="146">
        <v>46122</v>
      </c>
      <c r="H20" s="2" t="s">
        <v>6</v>
      </c>
      <c r="I20" s="57">
        <v>774998.04</v>
      </c>
      <c r="J20" s="149" cm="1">
        <f t="array" ref="J20">_xlfn.IFS(D20="INDUSTOWER","40",D20="RELIANCEIN","44",D20="SIEMENSLTD","120",D20="CLEANMAX","40",D20="AVAADA","40",D20="ARCHTECH","40")+G20</f>
        <v>46162</v>
      </c>
      <c r="K20" s="150">
        <v>46129</v>
      </c>
      <c r="L20" s="149">
        <f t="shared" si="0"/>
        <v>46182</v>
      </c>
      <c r="M20" s="6">
        <v>10024</v>
      </c>
      <c r="N20" s="148">
        <f t="shared" si="1"/>
        <v>46122</v>
      </c>
      <c r="O20" s="147"/>
      <c r="P20" s="223"/>
      <c r="Q20" s="18" t="s">
        <v>52</v>
      </c>
      <c r="R20" s="18">
        <f t="shared" si="2"/>
        <v>697498.23600000003</v>
      </c>
      <c r="S20" s="3">
        <v>7.6999999999999999E-2</v>
      </c>
      <c r="T20" s="145">
        <f t="shared" si="3"/>
        <v>53</v>
      </c>
      <c r="U20" s="4">
        <f t="shared" si="4"/>
        <v>7799</v>
      </c>
      <c r="V20" s="4">
        <f t="shared" si="5"/>
        <v>689699.23600000003</v>
      </c>
      <c r="W20" s="17"/>
      <c r="X20" s="6"/>
      <c r="Y20" s="5"/>
      <c r="Z20" s="94"/>
      <c r="AA20" s="20"/>
      <c r="AB20" s="19"/>
      <c r="AC20" s="165" cm="1">
        <f t="array" ref="AC20">_xlfn.IFS(D20="INDUSTOWER","275000000",D20="RELIANCEIN","220000000",D20="SIEMENSLTD","83330000")-I20</f>
        <v>274225001.95999998</v>
      </c>
    </row>
    <row r="21" spans="1:29" x14ac:dyDescent="0.25">
      <c r="A21" s="1">
        <v>3</v>
      </c>
      <c r="B21" s="1">
        <f>SUBTOTAL(3,C$3:C21)</f>
        <v>19</v>
      </c>
      <c r="C21" s="6" t="s">
        <v>93</v>
      </c>
      <c r="D21" s="30" t="s">
        <v>27</v>
      </c>
      <c r="E21" s="30" t="s">
        <v>7</v>
      </c>
      <c r="F21" s="54" t="s">
        <v>161</v>
      </c>
      <c r="G21" s="146">
        <v>46122</v>
      </c>
      <c r="H21" s="2" t="s">
        <v>6</v>
      </c>
      <c r="I21" s="57">
        <v>774998.04</v>
      </c>
      <c r="J21" s="149" cm="1">
        <f t="array" ref="J21">_xlfn.IFS(D21="INDUSTOWER","40",D21="RELIANCEIN","44",D21="SIEMENSLTD","120",D21="CLEANMAX","40",D21="AVAADA","40",D21="ARCHTECH","40")+G21</f>
        <v>46162</v>
      </c>
      <c r="K21" s="150">
        <v>46129</v>
      </c>
      <c r="L21" s="149">
        <f t="shared" si="0"/>
        <v>46182</v>
      </c>
      <c r="M21" s="6">
        <v>779</v>
      </c>
      <c r="N21" s="148">
        <f t="shared" si="1"/>
        <v>46122</v>
      </c>
      <c r="O21" s="147"/>
      <c r="P21" s="223"/>
      <c r="Q21" s="18" t="s">
        <v>52</v>
      </c>
      <c r="R21" s="18">
        <f t="shared" si="2"/>
        <v>697498.23600000003</v>
      </c>
      <c r="S21" s="3">
        <v>7.6999999999999999E-2</v>
      </c>
      <c r="T21" s="145">
        <f t="shared" si="3"/>
        <v>53</v>
      </c>
      <c r="U21" s="4">
        <f t="shared" si="4"/>
        <v>7799</v>
      </c>
      <c r="V21" s="4">
        <f t="shared" si="5"/>
        <v>689699.23600000003</v>
      </c>
      <c r="W21" s="17"/>
      <c r="X21" s="6"/>
      <c r="Y21" s="5"/>
      <c r="Z21" s="94"/>
      <c r="AA21" s="20"/>
      <c r="AB21" s="19"/>
      <c r="AC21" s="165" cm="1">
        <f t="array" ref="AC21">_xlfn.IFS(D21="INDUSTOWER","275000000",D21="RELIANCEIN","220000000",D21="SIEMENSLTD","83330000")-I21</f>
        <v>274225001.95999998</v>
      </c>
    </row>
    <row r="22" spans="1:29" x14ac:dyDescent="0.25">
      <c r="A22" s="1">
        <v>3</v>
      </c>
      <c r="B22" s="1">
        <f>SUBTOTAL(3,C$3:C22)</f>
        <v>20</v>
      </c>
      <c r="C22" s="6" t="s">
        <v>93</v>
      </c>
      <c r="D22" s="30" t="s">
        <v>27</v>
      </c>
      <c r="E22" s="30" t="s">
        <v>7</v>
      </c>
      <c r="F22" s="54" t="s">
        <v>162</v>
      </c>
      <c r="G22" s="146">
        <v>46122</v>
      </c>
      <c r="H22" s="2" t="s">
        <v>6</v>
      </c>
      <c r="I22" s="57">
        <v>774998.04</v>
      </c>
      <c r="J22" s="149" cm="1">
        <f t="array" ref="J22">_xlfn.IFS(D22="INDUSTOWER","40",D22="RELIANCEIN","44",D22="SIEMENSLTD","120",D22="CLEANMAX","40",D22="AVAADA","40",D22="ARCHTECH","40")+G22</f>
        <v>46162</v>
      </c>
      <c r="K22" s="150">
        <v>46129</v>
      </c>
      <c r="L22" s="149">
        <f t="shared" si="0"/>
        <v>46182</v>
      </c>
      <c r="M22" s="6">
        <v>10025</v>
      </c>
      <c r="N22" s="148">
        <f t="shared" si="1"/>
        <v>46122</v>
      </c>
      <c r="O22" s="147"/>
      <c r="P22" s="223"/>
      <c r="Q22" s="18" t="s">
        <v>52</v>
      </c>
      <c r="R22" s="18">
        <f t="shared" si="2"/>
        <v>697498.23600000003</v>
      </c>
      <c r="S22" s="3">
        <v>7.6999999999999999E-2</v>
      </c>
      <c r="T22" s="145">
        <f t="shared" si="3"/>
        <v>53</v>
      </c>
      <c r="U22" s="4">
        <f t="shared" si="4"/>
        <v>7799</v>
      </c>
      <c r="V22" s="4">
        <f t="shared" si="5"/>
        <v>689699.23600000003</v>
      </c>
      <c r="W22" s="17"/>
      <c r="X22" s="6"/>
      <c r="Y22" s="5"/>
      <c r="Z22" s="94"/>
      <c r="AA22" s="20"/>
      <c r="AB22" s="19"/>
      <c r="AC22" s="165" cm="1">
        <f t="array" ref="AC22">_xlfn.IFS(D22="INDUSTOWER","275000000",D22="RELIANCEIN","220000000",D22="SIEMENSLTD","83330000")-I22</f>
        <v>274225001.95999998</v>
      </c>
    </row>
    <row r="23" spans="1:29" x14ac:dyDescent="0.25">
      <c r="A23" s="1">
        <v>3</v>
      </c>
      <c r="B23" s="1">
        <f>SUBTOTAL(3,C$3:C23)</f>
        <v>21</v>
      </c>
      <c r="C23" s="6" t="s">
        <v>93</v>
      </c>
      <c r="D23" s="30" t="s">
        <v>27</v>
      </c>
      <c r="E23" s="30" t="s">
        <v>7</v>
      </c>
      <c r="F23" s="54" t="s">
        <v>163</v>
      </c>
      <c r="G23" s="146">
        <v>46122</v>
      </c>
      <c r="H23" s="2" t="s">
        <v>6</v>
      </c>
      <c r="I23" s="57">
        <v>774998.04</v>
      </c>
      <c r="J23" s="149" cm="1">
        <f t="array" ref="J23">_xlfn.IFS(D23="INDUSTOWER","40",D23="RELIANCEIN","44",D23="SIEMENSLTD","120",D23="CLEANMAX","40",D23="AVAADA","40",D23="ARCHTECH","40")+G23</f>
        <v>46162</v>
      </c>
      <c r="K23" s="150">
        <v>46129</v>
      </c>
      <c r="L23" s="149">
        <f t="shared" si="0"/>
        <v>46182</v>
      </c>
      <c r="M23" s="6">
        <v>10026</v>
      </c>
      <c r="N23" s="148">
        <f t="shared" si="1"/>
        <v>46122</v>
      </c>
      <c r="O23" s="147"/>
      <c r="P23" s="223"/>
      <c r="Q23" s="18" t="s">
        <v>52</v>
      </c>
      <c r="R23" s="18">
        <f t="shared" si="2"/>
        <v>697498.23600000003</v>
      </c>
      <c r="S23" s="3">
        <v>7.6999999999999999E-2</v>
      </c>
      <c r="T23" s="145">
        <f t="shared" si="3"/>
        <v>53</v>
      </c>
      <c r="U23" s="4">
        <f t="shared" si="4"/>
        <v>7799</v>
      </c>
      <c r="V23" s="4">
        <f t="shared" si="5"/>
        <v>689699.23600000003</v>
      </c>
      <c r="W23" s="17"/>
      <c r="X23" s="6"/>
      <c r="Y23" s="5"/>
      <c r="Z23" s="94"/>
      <c r="AA23" s="20"/>
      <c r="AB23" s="19"/>
      <c r="AC23" s="165" cm="1">
        <f t="array" ref="AC23">_xlfn.IFS(D23="INDUSTOWER","275000000",D23="RELIANCEIN","220000000",D23="SIEMENSLTD","83330000")-I23</f>
        <v>274225001.95999998</v>
      </c>
    </row>
    <row r="24" spans="1:29" x14ac:dyDescent="0.25">
      <c r="A24" s="1">
        <v>3</v>
      </c>
      <c r="B24" s="1">
        <f>SUBTOTAL(3,C$3:C24)</f>
        <v>22</v>
      </c>
      <c r="C24" s="6" t="s">
        <v>93</v>
      </c>
      <c r="D24" s="30" t="s">
        <v>27</v>
      </c>
      <c r="E24" s="30" t="s">
        <v>7</v>
      </c>
      <c r="F24" s="54" t="s">
        <v>164</v>
      </c>
      <c r="G24" s="146">
        <v>46124</v>
      </c>
      <c r="H24" s="2" t="s">
        <v>6</v>
      </c>
      <c r="I24" s="57">
        <v>647363.34</v>
      </c>
      <c r="J24" s="149" cm="1">
        <f t="array" ref="J24">_xlfn.IFS(D24="INDUSTOWER","40",D24="RELIANCEIN","44",D24="SIEMENSLTD","120",D24="CLEANMAX","40",D24="AVAADA","40",D24="ARCHTECH","40")+G24</f>
        <v>46164</v>
      </c>
      <c r="K24" s="150">
        <v>46129</v>
      </c>
      <c r="L24" s="149">
        <f t="shared" si="0"/>
        <v>46184</v>
      </c>
      <c r="M24" s="6">
        <v>780</v>
      </c>
      <c r="N24" s="148">
        <f t="shared" si="1"/>
        <v>46124</v>
      </c>
      <c r="O24" s="147"/>
      <c r="P24" s="223"/>
      <c r="Q24" s="18" t="s">
        <v>70</v>
      </c>
      <c r="R24" s="18">
        <f t="shared" si="2"/>
        <v>582627.00599999994</v>
      </c>
      <c r="S24" s="3">
        <v>7.6999999999999999E-2</v>
      </c>
      <c r="T24" s="145">
        <f t="shared" si="3"/>
        <v>55</v>
      </c>
      <c r="U24" s="4">
        <f t="shared" si="4"/>
        <v>6760</v>
      </c>
      <c r="V24" s="4">
        <f t="shared" si="5"/>
        <v>575867.00599999994</v>
      </c>
      <c r="W24" s="17"/>
      <c r="X24" s="6"/>
      <c r="Y24" s="5"/>
      <c r="Z24" s="94"/>
      <c r="AA24" s="20"/>
      <c r="AB24" s="19"/>
      <c r="AC24" s="165" cm="1">
        <f t="array" ref="AC24">_xlfn.IFS(D24="INDUSTOWER","275000000",D24="RELIANCEIN","220000000",D24="SIEMENSLTD","83330000")-I24</f>
        <v>274352636.66000003</v>
      </c>
    </row>
    <row r="25" spans="1:29" x14ac:dyDescent="0.25">
      <c r="A25" s="1">
        <v>3</v>
      </c>
      <c r="B25" s="1">
        <f>SUBTOTAL(3,C$3:C25)</f>
        <v>23</v>
      </c>
      <c r="C25" s="6" t="s">
        <v>93</v>
      </c>
      <c r="D25" s="30" t="s">
        <v>27</v>
      </c>
      <c r="E25" s="30" t="s">
        <v>7</v>
      </c>
      <c r="F25" s="54" t="s">
        <v>165</v>
      </c>
      <c r="G25" s="146">
        <v>46124</v>
      </c>
      <c r="H25" s="2" t="s">
        <v>6</v>
      </c>
      <c r="I25" s="57">
        <v>147186.12</v>
      </c>
      <c r="J25" s="149" cm="1">
        <f t="array" ref="J25">_xlfn.IFS(D25="INDUSTOWER","40",D25="RELIANCEIN","44",D25="SIEMENSLTD","120",D25="CLEANMAX","40",D25="AVAADA","40",D25="ARCHTECH","40")+G25</f>
        <v>46164</v>
      </c>
      <c r="K25" s="150">
        <v>46129</v>
      </c>
      <c r="L25" s="149">
        <f t="shared" si="0"/>
        <v>46184</v>
      </c>
      <c r="M25" s="6">
        <v>781</v>
      </c>
      <c r="N25" s="148">
        <f t="shared" si="1"/>
        <v>46124</v>
      </c>
      <c r="O25" s="147"/>
      <c r="P25" s="223"/>
      <c r="Q25" s="18" t="s">
        <v>69</v>
      </c>
      <c r="R25" s="18">
        <f t="shared" si="2"/>
        <v>132467.508</v>
      </c>
      <c r="S25" s="3">
        <v>7.6999999999999999E-2</v>
      </c>
      <c r="T25" s="145">
        <f t="shared" si="3"/>
        <v>55</v>
      </c>
      <c r="U25" s="4">
        <f t="shared" si="4"/>
        <v>1537</v>
      </c>
      <c r="V25" s="4">
        <f t="shared" si="5"/>
        <v>130930.508</v>
      </c>
      <c r="W25" s="17"/>
      <c r="X25" s="6"/>
      <c r="Y25" s="5"/>
      <c r="Z25" s="94"/>
      <c r="AA25" s="20"/>
      <c r="AB25" s="19"/>
      <c r="AC25" s="165" cm="1">
        <f t="array" ref="AC25">_xlfn.IFS(D25="INDUSTOWER","275000000",D25="RELIANCEIN","220000000",D25="SIEMENSLTD","83330000")-I25</f>
        <v>274852813.88</v>
      </c>
    </row>
    <row r="26" spans="1:29" x14ac:dyDescent="0.25">
      <c r="A26" s="1">
        <v>3</v>
      </c>
      <c r="B26" s="1">
        <f>SUBTOTAL(3,C$3:C26)</f>
        <v>24</v>
      </c>
      <c r="C26" s="6" t="s">
        <v>93</v>
      </c>
      <c r="D26" s="30" t="s">
        <v>27</v>
      </c>
      <c r="E26" s="30" t="s">
        <v>7</v>
      </c>
      <c r="F26" s="54" t="s">
        <v>166</v>
      </c>
      <c r="G26" s="146">
        <v>46124</v>
      </c>
      <c r="H26" s="2" t="s">
        <v>6</v>
      </c>
      <c r="I26" s="57">
        <v>774998.04</v>
      </c>
      <c r="J26" s="149" cm="1">
        <f t="array" ref="J26">_xlfn.IFS(D26="INDUSTOWER","40",D26="RELIANCEIN","44",D26="SIEMENSLTD","120",D26="CLEANMAX","40",D26="AVAADA","40",D26="ARCHTECH","40")+G26</f>
        <v>46164</v>
      </c>
      <c r="K26" s="150">
        <v>46129</v>
      </c>
      <c r="L26" s="149">
        <f t="shared" si="0"/>
        <v>46184</v>
      </c>
      <c r="M26" s="6">
        <v>10030</v>
      </c>
      <c r="N26" s="148">
        <f t="shared" si="1"/>
        <v>46124</v>
      </c>
      <c r="O26" s="147"/>
      <c r="P26" s="223"/>
      <c r="Q26" s="18" t="s">
        <v>52</v>
      </c>
      <c r="R26" s="18">
        <f t="shared" si="2"/>
        <v>697498.23600000003</v>
      </c>
      <c r="S26" s="3">
        <v>7.6999999999999999E-2</v>
      </c>
      <c r="T26" s="145">
        <f t="shared" si="3"/>
        <v>55</v>
      </c>
      <c r="U26" s="4">
        <f t="shared" si="4"/>
        <v>8093</v>
      </c>
      <c r="V26" s="4">
        <f t="shared" si="5"/>
        <v>689405.23600000003</v>
      </c>
      <c r="W26" s="17"/>
      <c r="X26" s="6"/>
      <c r="Y26" s="5"/>
      <c r="Z26" s="94"/>
      <c r="AA26" s="20"/>
      <c r="AB26" s="19"/>
      <c r="AC26" s="165" cm="1">
        <f t="array" ref="AC26">_xlfn.IFS(D26="INDUSTOWER","275000000",D26="RELIANCEIN","220000000",D26="SIEMENSLTD","83330000")-I26</f>
        <v>274225001.95999998</v>
      </c>
    </row>
    <row r="27" spans="1:29" x14ac:dyDescent="0.25">
      <c r="A27" s="1">
        <v>3</v>
      </c>
      <c r="B27" s="1">
        <f>SUBTOTAL(3,C$3:C27)</f>
        <v>25</v>
      </c>
      <c r="C27" s="6" t="s">
        <v>93</v>
      </c>
      <c r="D27" s="30" t="s">
        <v>27</v>
      </c>
      <c r="E27" s="30" t="s">
        <v>7</v>
      </c>
      <c r="F27" s="54" t="s">
        <v>167</v>
      </c>
      <c r="G27" s="146">
        <v>46124</v>
      </c>
      <c r="H27" s="2" t="s">
        <v>6</v>
      </c>
      <c r="I27" s="57">
        <v>774998.04</v>
      </c>
      <c r="J27" s="149" cm="1">
        <f t="array" ref="J27">_xlfn.IFS(D27="INDUSTOWER","40",D27="RELIANCEIN","44",D27="SIEMENSLTD","120",D27="CLEANMAX","40",D27="AVAADA","40",D27="ARCHTECH","40")+G27</f>
        <v>46164</v>
      </c>
      <c r="K27" s="150">
        <v>46129</v>
      </c>
      <c r="L27" s="149">
        <f t="shared" si="0"/>
        <v>46184</v>
      </c>
      <c r="M27" s="6">
        <v>10031</v>
      </c>
      <c r="N27" s="148">
        <f t="shared" si="1"/>
        <v>46124</v>
      </c>
      <c r="O27" s="147"/>
      <c r="P27" s="223"/>
      <c r="Q27" s="18" t="s">
        <v>52</v>
      </c>
      <c r="R27" s="18">
        <f t="shared" si="2"/>
        <v>697498.23600000003</v>
      </c>
      <c r="S27" s="3">
        <v>7.6999999999999999E-2</v>
      </c>
      <c r="T27" s="145">
        <f t="shared" si="3"/>
        <v>55</v>
      </c>
      <c r="U27" s="4">
        <f t="shared" si="4"/>
        <v>8093</v>
      </c>
      <c r="V27" s="4">
        <f t="shared" si="5"/>
        <v>689405.23600000003</v>
      </c>
      <c r="W27" s="17"/>
      <c r="X27" s="6"/>
      <c r="Y27" s="5"/>
      <c r="Z27" s="94"/>
      <c r="AA27" s="20"/>
      <c r="AB27" s="19"/>
      <c r="AC27" s="165" cm="1">
        <f t="array" ref="AC27">_xlfn.IFS(D27="INDUSTOWER","275000000",D27="RELIANCEIN","220000000",D27="SIEMENSLTD","83330000")-I27</f>
        <v>274225001.95999998</v>
      </c>
    </row>
    <row r="28" spans="1:29" x14ac:dyDescent="0.25">
      <c r="A28" s="1">
        <v>3</v>
      </c>
      <c r="B28" s="1">
        <f>SUBTOTAL(3,C$3:C28)</f>
        <v>26</v>
      </c>
      <c r="C28" s="6" t="s">
        <v>93</v>
      </c>
      <c r="D28" s="30" t="s">
        <v>27</v>
      </c>
      <c r="E28" s="30" t="s">
        <v>7</v>
      </c>
      <c r="F28" s="54" t="s">
        <v>168</v>
      </c>
      <c r="G28" s="146">
        <v>46125</v>
      </c>
      <c r="H28" s="2" t="s">
        <v>6</v>
      </c>
      <c r="I28" s="89">
        <v>774998.04</v>
      </c>
      <c r="J28" s="149" cm="1">
        <f t="array" ref="J28">_xlfn.IFS(D28="INDUSTOWER","40",D28="RELIANCEIN","44",D28="SIEMENSLTD","120",D28="CLEANMAX","40",D28="AVAADA","40",D28="ARCHTECH","40")+G28</f>
        <v>46165</v>
      </c>
      <c r="K28" s="150">
        <v>46129</v>
      </c>
      <c r="L28" s="149">
        <f t="shared" si="0"/>
        <v>46185</v>
      </c>
      <c r="M28" s="6">
        <v>78501</v>
      </c>
      <c r="N28" s="148">
        <f t="shared" si="1"/>
        <v>46125</v>
      </c>
      <c r="O28" s="148"/>
      <c r="P28" s="223"/>
      <c r="Q28" s="18" t="s">
        <v>52</v>
      </c>
      <c r="R28" s="18">
        <f t="shared" si="2"/>
        <v>697498.23600000003</v>
      </c>
      <c r="S28" s="3">
        <v>7.6999999999999999E-2</v>
      </c>
      <c r="T28" s="145">
        <f t="shared" si="3"/>
        <v>56</v>
      </c>
      <c r="U28" s="4">
        <f t="shared" si="4"/>
        <v>8240</v>
      </c>
      <c r="V28" s="4">
        <f t="shared" si="5"/>
        <v>689258.23600000003</v>
      </c>
      <c r="W28" s="17"/>
      <c r="X28" s="6"/>
      <c r="Y28" s="5"/>
      <c r="Z28" s="94"/>
      <c r="AA28" s="20"/>
      <c r="AB28" s="19"/>
      <c r="AC28" s="165" cm="1">
        <f t="array" ref="AC28">_xlfn.IFS(D28="INDUSTOWER","275000000",D28="RELIANCEIN","220000000",D28="SIEMENSLTD","83330000")-I28</f>
        <v>274225001.95999998</v>
      </c>
    </row>
    <row r="29" spans="1:29" x14ac:dyDescent="0.25">
      <c r="A29" s="1">
        <v>3</v>
      </c>
      <c r="B29" s="1">
        <f>SUBTOTAL(3,C$3:C29)</f>
        <v>27</v>
      </c>
      <c r="C29" s="6" t="s">
        <v>93</v>
      </c>
      <c r="D29" s="30" t="s">
        <v>27</v>
      </c>
      <c r="E29" s="30" t="s">
        <v>7</v>
      </c>
      <c r="F29" s="54" t="s">
        <v>169</v>
      </c>
      <c r="G29" s="146">
        <v>46125</v>
      </c>
      <c r="H29" s="2" t="s">
        <v>6</v>
      </c>
      <c r="I29" s="89">
        <v>774998.04</v>
      </c>
      <c r="J29" s="149" cm="1">
        <f t="array" ref="J29">_xlfn.IFS(D29="INDUSTOWER","40",D29="RELIANCEIN","44",D29="SIEMENSLTD","120",D29="CLEANMAX","40",D29="AVAADA","40",D29="ARCHTECH","40")+G29</f>
        <v>46165</v>
      </c>
      <c r="K29" s="150">
        <v>46129</v>
      </c>
      <c r="L29" s="149">
        <f t="shared" si="0"/>
        <v>46185</v>
      </c>
      <c r="M29" s="6">
        <v>78502</v>
      </c>
      <c r="N29" s="148">
        <f t="shared" si="1"/>
        <v>46125</v>
      </c>
      <c r="O29" s="148"/>
      <c r="P29" s="223"/>
      <c r="Q29" s="18" t="s">
        <v>52</v>
      </c>
      <c r="R29" s="18">
        <f t="shared" si="2"/>
        <v>697498.23600000003</v>
      </c>
      <c r="S29" s="3">
        <v>7.6999999999999999E-2</v>
      </c>
      <c r="T29" s="145">
        <f t="shared" si="3"/>
        <v>56</v>
      </c>
      <c r="U29" s="4">
        <f t="shared" si="4"/>
        <v>8240</v>
      </c>
      <c r="V29" s="4">
        <f t="shared" si="5"/>
        <v>689258.23600000003</v>
      </c>
      <c r="W29" s="17"/>
      <c r="X29" s="6"/>
      <c r="Y29" s="5"/>
      <c r="Z29" s="94"/>
      <c r="AA29" s="20"/>
      <c r="AB29" s="19"/>
      <c r="AC29" s="165" cm="1">
        <f t="array" ref="AC29">_xlfn.IFS(D29="INDUSTOWER","275000000",D29="RELIANCEIN","220000000",D29="SIEMENSLTD","83330000")-I29</f>
        <v>274225001.95999998</v>
      </c>
    </row>
    <row r="30" spans="1:29" x14ac:dyDescent="0.25">
      <c r="A30" s="1">
        <v>3</v>
      </c>
      <c r="B30" s="1">
        <f>SUBTOTAL(3,C$3:C30)</f>
        <v>28</v>
      </c>
      <c r="C30" s="6" t="s">
        <v>93</v>
      </c>
      <c r="D30" s="30" t="s">
        <v>27</v>
      </c>
      <c r="E30" s="30" t="s">
        <v>7</v>
      </c>
      <c r="F30" s="54" t="s">
        <v>170</v>
      </c>
      <c r="G30" s="146">
        <v>46125</v>
      </c>
      <c r="H30" s="2" t="s">
        <v>6</v>
      </c>
      <c r="I30" s="89">
        <v>774998.04</v>
      </c>
      <c r="J30" s="149" cm="1">
        <f t="array" ref="J30">_xlfn.IFS(D30="INDUSTOWER","40",D30="RELIANCEIN","44",D30="SIEMENSLTD","120",D30="CLEANMAX","40",D30="AVAADA","40",D30="ARCHTECH","40")+G30</f>
        <v>46165</v>
      </c>
      <c r="K30" s="150">
        <v>46129</v>
      </c>
      <c r="L30" s="149">
        <f t="shared" si="0"/>
        <v>46185</v>
      </c>
      <c r="M30" s="6">
        <v>78503</v>
      </c>
      <c r="N30" s="148">
        <f t="shared" si="1"/>
        <v>46125</v>
      </c>
      <c r="O30" s="148"/>
      <c r="P30" s="223"/>
      <c r="Q30" s="18" t="s">
        <v>52</v>
      </c>
      <c r="R30" s="18">
        <f t="shared" si="2"/>
        <v>697498.23600000003</v>
      </c>
      <c r="S30" s="3">
        <v>7.6999999999999999E-2</v>
      </c>
      <c r="T30" s="145">
        <f t="shared" si="3"/>
        <v>56</v>
      </c>
      <c r="U30" s="4">
        <f t="shared" si="4"/>
        <v>8240</v>
      </c>
      <c r="V30" s="4">
        <f t="shared" si="5"/>
        <v>689258.23600000003</v>
      </c>
      <c r="W30" s="17"/>
      <c r="X30" s="6"/>
      <c r="Y30" s="5"/>
      <c r="Z30" s="94"/>
      <c r="AA30" s="20"/>
      <c r="AB30" s="19"/>
      <c r="AC30" s="165" cm="1">
        <f t="array" ref="AC30">_xlfn.IFS(D30="INDUSTOWER","275000000",D30="RELIANCEIN","220000000",D30="SIEMENSLTD","83330000")-I30</f>
        <v>274225001.95999998</v>
      </c>
    </row>
    <row r="31" spans="1:29" x14ac:dyDescent="0.25">
      <c r="A31" s="1">
        <v>4</v>
      </c>
      <c r="B31" s="1">
        <f>SUBTOTAL(3,C$3:C31)</f>
        <v>29</v>
      </c>
      <c r="C31" s="6" t="s">
        <v>93</v>
      </c>
      <c r="D31" s="30" t="s">
        <v>27</v>
      </c>
      <c r="E31" s="30" t="s">
        <v>7</v>
      </c>
      <c r="F31" s="54" t="s">
        <v>171</v>
      </c>
      <c r="G31" s="146">
        <v>46127</v>
      </c>
      <c r="H31" s="2" t="s">
        <v>6</v>
      </c>
      <c r="I31" s="89">
        <v>661895.04</v>
      </c>
      <c r="J31" s="149" cm="1">
        <f t="array" ref="J31">_xlfn.IFS(D31="INDUSTOWER","40",D31="RELIANCEIN","44",D31="SIEMENSLTD","120",D31="CLEANMAX","40",D31="AVAADA","40",D31="ARCHTECH","40")+G31</f>
        <v>46167</v>
      </c>
      <c r="K31" s="150">
        <v>46132</v>
      </c>
      <c r="L31" s="149">
        <f t="shared" si="0"/>
        <v>46187</v>
      </c>
      <c r="M31" s="6">
        <v>78510</v>
      </c>
      <c r="N31" s="148">
        <f t="shared" si="1"/>
        <v>46127</v>
      </c>
      <c r="O31" s="148"/>
      <c r="P31" s="223"/>
      <c r="Q31" s="18" t="s">
        <v>70</v>
      </c>
      <c r="R31" s="18">
        <f t="shared" si="2"/>
        <v>595705.53600000008</v>
      </c>
      <c r="S31" s="3">
        <v>7.6999999999999999E-2</v>
      </c>
      <c r="T31" s="145">
        <f t="shared" si="3"/>
        <v>55</v>
      </c>
      <c r="U31" s="4">
        <f t="shared" si="4"/>
        <v>6912</v>
      </c>
      <c r="V31" s="4">
        <f t="shared" si="5"/>
        <v>588793.53600000008</v>
      </c>
      <c r="W31" s="17"/>
      <c r="X31" s="6"/>
      <c r="Y31" s="94"/>
      <c r="Z31" s="94"/>
      <c r="AA31" s="20"/>
      <c r="AB31" s="19"/>
      <c r="AC31" s="165" cm="1">
        <f t="array" ref="AC31">_xlfn.IFS(D31="INDUSTOWER","275000000",D31="RELIANCEIN","220000000",D31="SIEMENSLTD","83330000")-I31</f>
        <v>274338104.95999998</v>
      </c>
    </row>
    <row r="32" spans="1:29" x14ac:dyDescent="0.25">
      <c r="A32" s="1">
        <v>4</v>
      </c>
      <c r="B32" s="1">
        <f>SUBTOTAL(3,C$3:C32)</f>
        <v>30</v>
      </c>
      <c r="C32" s="6" t="s">
        <v>93</v>
      </c>
      <c r="D32" s="30" t="s">
        <v>27</v>
      </c>
      <c r="E32" s="30" t="s">
        <v>7</v>
      </c>
      <c r="F32" s="54" t="s">
        <v>172</v>
      </c>
      <c r="G32" s="146">
        <v>46127</v>
      </c>
      <c r="H32" s="2" t="s">
        <v>6</v>
      </c>
      <c r="I32" s="89">
        <v>661895.04</v>
      </c>
      <c r="J32" s="149" cm="1">
        <f t="array" ref="J32">_xlfn.IFS(D32="INDUSTOWER","40",D32="RELIANCEIN","44",D32="SIEMENSLTD","120",D32="CLEANMAX","40",D32="AVAADA","40",D32="ARCHTECH","40")+G32</f>
        <v>46167</v>
      </c>
      <c r="K32" s="150">
        <v>46132</v>
      </c>
      <c r="L32" s="149">
        <f t="shared" si="0"/>
        <v>46187</v>
      </c>
      <c r="M32" s="6">
        <v>78511</v>
      </c>
      <c r="N32" s="148">
        <f t="shared" si="1"/>
        <v>46127</v>
      </c>
      <c r="O32" s="148"/>
      <c r="P32" s="223"/>
      <c r="Q32" s="18" t="s">
        <v>70</v>
      </c>
      <c r="R32" s="18">
        <f t="shared" si="2"/>
        <v>595705.53600000008</v>
      </c>
      <c r="S32" s="3">
        <v>7.6999999999999999E-2</v>
      </c>
      <c r="T32" s="145">
        <f t="shared" si="3"/>
        <v>55</v>
      </c>
      <c r="U32" s="4">
        <f t="shared" si="4"/>
        <v>6912</v>
      </c>
      <c r="V32" s="4">
        <f t="shared" si="5"/>
        <v>588793.53600000008</v>
      </c>
      <c r="W32" s="17"/>
      <c r="X32" s="6"/>
      <c r="Y32" s="94"/>
      <c r="Z32" s="94"/>
      <c r="AA32" s="20"/>
      <c r="AB32" s="19"/>
      <c r="AC32" s="165" cm="1">
        <f t="array" ref="AC32">_xlfn.IFS(D32="INDUSTOWER","275000000",D32="RELIANCEIN","220000000",D32="SIEMENSLTD","83330000")-I32</f>
        <v>274338104.95999998</v>
      </c>
    </row>
    <row r="33" spans="1:29" x14ac:dyDescent="0.25">
      <c r="A33" s="1">
        <v>4</v>
      </c>
      <c r="B33" s="1">
        <f>SUBTOTAL(3,C$3:C33)</f>
        <v>31</v>
      </c>
      <c r="C33" s="6" t="s">
        <v>93</v>
      </c>
      <c r="D33" s="30" t="s">
        <v>27</v>
      </c>
      <c r="E33" s="30" t="s">
        <v>7</v>
      </c>
      <c r="F33" s="54" t="s">
        <v>173</v>
      </c>
      <c r="G33" s="146">
        <v>46127</v>
      </c>
      <c r="H33" s="2" t="s">
        <v>6</v>
      </c>
      <c r="I33" s="89">
        <v>661895.04</v>
      </c>
      <c r="J33" s="149" cm="1">
        <f t="array" ref="J33">_xlfn.IFS(D33="INDUSTOWER","40",D33="RELIANCEIN","44",D33="SIEMENSLTD","120",D33="CLEANMAX","40",D33="AVAADA","40",D33="ARCHTECH","40")+G33</f>
        <v>46167</v>
      </c>
      <c r="K33" s="150">
        <v>46132</v>
      </c>
      <c r="L33" s="149">
        <f t="shared" si="0"/>
        <v>46187</v>
      </c>
      <c r="M33" s="6">
        <v>21123</v>
      </c>
      <c r="N33" s="148">
        <f t="shared" si="1"/>
        <v>46127</v>
      </c>
      <c r="O33" s="148"/>
      <c r="P33" s="223"/>
      <c r="Q33" s="18" t="s">
        <v>70</v>
      </c>
      <c r="R33" s="18">
        <f t="shared" si="2"/>
        <v>595705.53600000008</v>
      </c>
      <c r="S33" s="3">
        <v>7.6999999999999999E-2</v>
      </c>
      <c r="T33" s="145">
        <f t="shared" si="3"/>
        <v>55</v>
      </c>
      <c r="U33" s="4">
        <f t="shared" si="4"/>
        <v>6912</v>
      </c>
      <c r="V33" s="4">
        <f t="shared" si="5"/>
        <v>588793.53600000008</v>
      </c>
      <c r="W33" s="17"/>
      <c r="X33" s="6"/>
      <c r="Y33" s="94"/>
      <c r="Z33" s="94"/>
      <c r="AA33" s="20"/>
      <c r="AB33" s="19"/>
      <c r="AC33" s="165" cm="1">
        <f t="array" ref="AC33">_xlfn.IFS(D33="INDUSTOWER","275000000",D33="RELIANCEIN","220000000",D33="SIEMENSLTD","83330000")-I33</f>
        <v>274338104.95999998</v>
      </c>
    </row>
    <row r="34" spans="1:29" x14ac:dyDescent="0.25">
      <c r="A34" s="1">
        <v>4</v>
      </c>
      <c r="B34" s="1">
        <f>SUBTOTAL(3,C$3:C34)</f>
        <v>32</v>
      </c>
      <c r="C34" s="6" t="s">
        <v>93</v>
      </c>
      <c r="D34" s="30" t="s">
        <v>27</v>
      </c>
      <c r="E34" s="30" t="s">
        <v>7</v>
      </c>
      <c r="F34" s="54" t="s">
        <v>174</v>
      </c>
      <c r="G34" s="146">
        <v>46127</v>
      </c>
      <c r="H34" s="2" t="s">
        <v>6</v>
      </c>
      <c r="I34" s="89">
        <v>661895.04</v>
      </c>
      <c r="J34" s="149" cm="1">
        <f t="array" ref="J34">_xlfn.IFS(D34="INDUSTOWER","40",D34="RELIANCEIN","44",D34="SIEMENSLTD","120",D34="CLEANMAX","40",D34="AVAADA","40",D34="ARCHTECH","40")+G34</f>
        <v>46167</v>
      </c>
      <c r="K34" s="150">
        <v>46132</v>
      </c>
      <c r="L34" s="149">
        <f t="shared" si="0"/>
        <v>46187</v>
      </c>
      <c r="M34" s="6">
        <v>78512</v>
      </c>
      <c r="N34" s="148">
        <f t="shared" si="1"/>
        <v>46127</v>
      </c>
      <c r="O34" s="148"/>
      <c r="P34" s="223"/>
      <c r="Q34" s="18" t="s">
        <v>70</v>
      </c>
      <c r="R34" s="18">
        <f t="shared" si="2"/>
        <v>595705.53600000008</v>
      </c>
      <c r="S34" s="3">
        <v>7.6999999999999999E-2</v>
      </c>
      <c r="T34" s="145">
        <f t="shared" si="3"/>
        <v>55</v>
      </c>
      <c r="U34" s="4">
        <f t="shared" si="4"/>
        <v>6912</v>
      </c>
      <c r="V34" s="4">
        <f t="shared" si="5"/>
        <v>588793.53600000008</v>
      </c>
      <c r="W34" s="17"/>
      <c r="X34" s="6"/>
      <c r="Y34" s="94"/>
      <c r="Z34" s="94"/>
      <c r="AA34" s="20"/>
      <c r="AB34" s="19"/>
      <c r="AC34" s="165" cm="1">
        <f t="array" ref="AC34">_xlfn.IFS(D34="INDUSTOWER","275000000",D34="RELIANCEIN","220000000",D34="SIEMENSLTD","83330000")-I34</f>
        <v>274338104.95999998</v>
      </c>
    </row>
    <row r="35" spans="1:29" x14ac:dyDescent="0.25">
      <c r="A35" s="1">
        <v>4</v>
      </c>
      <c r="B35" s="1">
        <f>SUBTOTAL(3,C$3:C35)</f>
        <v>33</v>
      </c>
      <c r="C35" s="6" t="s">
        <v>93</v>
      </c>
      <c r="D35" s="30" t="s">
        <v>27</v>
      </c>
      <c r="E35" s="30" t="s">
        <v>7</v>
      </c>
      <c r="F35" s="54" t="s">
        <v>175</v>
      </c>
      <c r="G35" s="146">
        <v>46131</v>
      </c>
      <c r="H35" s="2" t="s">
        <v>6</v>
      </c>
      <c r="I35" s="89">
        <v>506008.78</v>
      </c>
      <c r="J35" s="149" cm="1">
        <f t="array" ref="J35">_xlfn.IFS(D35="INDUSTOWER","40",D35="RELIANCEIN","44",D35="SIEMENSLTD","120",D35="CLEANMAX","40",D35="AVAADA","40",D35="ARCHTECH","40")+G35</f>
        <v>46171</v>
      </c>
      <c r="K35" s="150">
        <v>46132</v>
      </c>
      <c r="L35" s="149">
        <f t="shared" si="0"/>
        <v>46191</v>
      </c>
      <c r="M35" s="6">
        <v>10038</v>
      </c>
      <c r="N35" s="148">
        <f t="shared" ref="N35:N81" si="6">+G35</f>
        <v>46131</v>
      </c>
      <c r="O35" s="148"/>
      <c r="P35" s="223"/>
      <c r="Q35" s="18" t="s">
        <v>29</v>
      </c>
      <c r="R35" s="18">
        <f t="shared" si="2"/>
        <v>455407.90200000006</v>
      </c>
      <c r="S35" s="3">
        <v>7.6999999999999999E-2</v>
      </c>
      <c r="T35" s="145">
        <f t="shared" si="3"/>
        <v>59</v>
      </c>
      <c r="U35" s="4">
        <f t="shared" si="4"/>
        <v>5668</v>
      </c>
      <c r="V35" s="4">
        <f t="shared" si="5"/>
        <v>449739.90200000006</v>
      </c>
      <c r="W35" s="17"/>
      <c r="X35" s="6"/>
      <c r="Y35" s="94"/>
      <c r="Z35" s="94"/>
      <c r="AA35" s="20"/>
      <c r="AB35" s="19"/>
      <c r="AC35" s="165" cm="1">
        <f t="array" ref="AC35">_xlfn.IFS(D35="INDUSTOWER","275000000",D35="RELIANCEIN","220000000",D35="SIEMENSLTD","83330000")-I35</f>
        <v>274493991.22000003</v>
      </c>
    </row>
    <row r="36" spans="1:29" x14ac:dyDescent="0.25">
      <c r="A36" s="1">
        <v>4</v>
      </c>
      <c r="B36" s="1">
        <f>SUBTOTAL(3,C$3:C36)</f>
        <v>34</v>
      </c>
      <c r="C36" s="6" t="s">
        <v>93</v>
      </c>
      <c r="D36" s="30" t="s">
        <v>27</v>
      </c>
      <c r="E36" s="30" t="s">
        <v>7</v>
      </c>
      <c r="F36" s="54" t="s">
        <v>176</v>
      </c>
      <c r="G36" s="146">
        <v>46131</v>
      </c>
      <c r="H36" s="2" t="s">
        <v>6</v>
      </c>
      <c r="I36" s="89">
        <v>506008.78</v>
      </c>
      <c r="J36" s="149" cm="1">
        <f t="array" ref="J36">_xlfn.IFS(D36="INDUSTOWER","40",D36="RELIANCEIN","44",D36="SIEMENSLTD","120",D36="CLEANMAX","40",D36="AVAADA","40",D36="ARCHTECH","40")+G36</f>
        <v>46171</v>
      </c>
      <c r="K36" s="150">
        <v>46132</v>
      </c>
      <c r="L36" s="149">
        <f t="shared" si="0"/>
        <v>46191</v>
      </c>
      <c r="M36" s="6">
        <v>10039</v>
      </c>
      <c r="N36" s="148">
        <f t="shared" si="6"/>
        <v>46131</v>
      </c>
      <c r="O36" s="148"/>
      <c r="P36" s="223"/>
      <c r="Q36" s="18" t="s">
        <v>29</v>
      </c>
      <c r="R36" s="18">
        <f t="shared" si="2"/>
        <v>455407.90200000006</v>
      </c>
      <c r="S36" s="3">
        <v>7.6999999999999999E-2</v>
      </c>
      <c r="T36" s="145">
        <f t="shared" si="3"/>
        <v>59</v>
      </c>
      <c r="U36" s="4">
        <f t="shared" si="4"/>
        <v>5668</v>
      </c>
      <c r="V36" s="4">
        <f t="shared" si="5"/>
        <v>449739.90200000006</v>
      </c>
      <c r="W36" s="17"/>
      <c r="X36" s="6"/>
      <c r="Y36" s="94"/>
      <c r="Z36" s="94"/>
      <c r="AA36" s="20"/>
      <c r="AB36" s="19"/>
      <c r="AC36" s="165" cm="1">
        <f t="array" ref="AC36">_xlfn.IFS(D36="INDUSTOWER","275000000",D36="RELIANCEIN","220000000",D36="SIEMENSLTD","83330000")-I36</f>
        <v>274493991.22000003</v>
      </c>
    </row>
    <row r="37" spans="1:29" x14ac:dyDescent="0.25">
      <c r="A37" s="1">
        <v>4</v>
      </c>
      <c r="B37" s="1">
        <f>SUBTOTAL(3,C$3:C37)</f>
        <v>35</v>
      </c>
      <c r="C37" s="6" t="s">
        <v>93</v>
      </c>
      <c r="D37" s="30" t="s">
        <v>27</v>
      </c>
      <c r="E37" s="30" t="s">
        <v>7</v>
      </c>
      <c r="F37" s="54" t="s">
        <v>177</v>
      </c>
      <c r="G37" s="146">
        <v>46131</v>
      </c>
      <c r="H37" s="2" t="s">
        <v>6</v>
      </c>
      <c r="I37" s="89">
        <v>506008.78</v>
      </c>
      <c r="J37" s="149" cm="1">
        <f t="array" ref="J37">_xlfn.IFS(D37="INDUSTOWER","40",D37="RELIANCEIN","44",D37="SIEMENSLTD","120",D37="CLEANMAX","40",D37="AVAADA","40",D37="ARCHTECH","40")+G37</f>
        <v>46171</v>
      </c>
      <c r="K37" s="150">
        <v>46132</v>
      </c>
      <c r="L37" s="149">
        <f t="shared" si="0"/>
        <v>46191</v>
      </c>
      <c r="M37" s="6">
        <v>10040</v>
      </c>
      <c r="N37" s="148">
        <f t="shared" si="6"/>
        <v>46131</v>
      </c>
      <c r="O37" s="148"/>
      <c r="P37" s="223"/>
      <c r="Q37" s="18" t="s">
        <v>29</v>
      </c>
      <c r="R37" s="18">
        <f t="shared" si="2"/>
        <v>455407.90200000006</v>
      </c>
      <c r="S37" s="3">
        <v>7.6999999999999999E-2</v>
      </c>
      <c r="T37" s="145">
        <f t="shared" si="3"/>
        <v>59</v>
      </c>
      <c r="U37" s="4">
        <f t="shared" si="4"/>
        <v>5668</v>
      </c>
      <c r="V37" s="4">
        <f t="shared" si="5"/>
        <v>449739.90200000006</v>
      </c>
      <c r="W37" s="17"/>
      <c r="X37" s="6"/>
      <c r="Y37" s="94"/>
      <c r="Z37" s="94"/>
      <c r="AA37" s="20"/>
      <c r="AB37" s="19"/>
      <c r="AC37" s="165" cm="1">
        <f t="array" ref="AC37">_xlfn.IFS(D37="INDUSTOWER","275000000",D37="RELIANCEIN","220000000",D37="SIEMENSLTD","83330000")-I37</f>
        <v>274493991.22000003</v>
      </c>
    </row>
    <row r="38" spans="1:29" x14ac:dyDescent="0.25">
      <c r="A38" s="1">
        <v>4</v>
      </c>
      <c r="B38" s="1">
        <f>SUBTOTAL(3,C$3:C38)</f>
        <v>36</v>
      </c>
      <c r="C38" s="6" t="s">
        <v>93</v>
      </c>
      <c r="D38" s="30" t="s">
        <v>27</v>
      </c>
      <c r="E38" s="30" t="s">
        <v>7</v>
      </c>
      <c r="F38" s="54" t="s">
        <v>178</v>
      </c>
      <c r="G38" s="146">
        <v>46131</v>
      </c>
      <c r="H38" s="2" t="s">
        <v>6</v>
      </c>
      <c r="I38" s="89">
        <v>506008.78</v>
      </c>
      <c r="J38" s="149" cm="1">
        <f t="array" ref="J38">_xlfn.IFS(D38="INDUSTOWER","40",D38="RELIANCEIN","44",D38="SIEMENSLTD","120",D38="CLEANMAX","40",D38="AVAADA","40",D38="ARCHTECH","40")+G38</f>
        <v>46171</v>
      </c>
      <c r="K38" s="150">
        <v>46132</v>
      </c>
      <c r="L38" s="149">
        <f t="shared" si="0"/>
        <v>46191</v>
      </c>
      <c r="M38" s="6">
        <v>10041</v>
      </c>
      <c r="N38" s="148">
        <f t="shared" si="6"/>
        <v>46131</v>
      </c>
      <c r="O38" s="157"/>
      <c r="P38" s="208"/>
      <c r="Q38" s="18" t="s">
        <v>29</v>
      </c>
      <c r="R38" s="18">
        <f t="shared" si="2"/>
        <v>455407.90200000006</v>
      </c>
      <c r="S38" s="3">
        <v>7.6999999999999999E-2</v>
      </c>
      <c r="T38" s="145">
        <f t="shared" si="3"/>
        <v>59</v>
      </c>
      <c r="U38" s="4">
        <f t="shared" si="4"/>
        <v>5668</v>
      </c>
      <c r="V38" s="4">
        <f t="shared" si="5"/>
        <v>449739.90200000006</v>
      </c>
      <c r="W38" s="17"/>
      <c r="X38" s="6"/>
      <c r="Y38" s="94"/>
      <c r="Z38" s="94"/>
      <c r="AA38" s="20"/>
      <c r="AB38" s="19"/>
      <c r="AC38" s="165" cm="1">
        <f t="array" ref="AC38">_xlfn.IFS(D38="INDUSTOWER","275000000",D38="RELIANCEIN","220000000",D38="SIEMENSLTD","83330000")-I38</f>
        <v>274493991.22000003</v>
      </c>
    </row>
    <row r="39" spans="1:29" x14ac:dyDescent="0.25">
      <c r="A39" s="1">
        <v>5</v>
      </c>
      <c r="B39" s="1">
        <f>SUBTOTAL(3,C$3:C39)</f>
        <v>37</v>
      </c>
      <c r="C39" s="6" t="s">
        <v>93</v>
      </c>
      <c r="D39" s="30" t="s">
        <v>27</v>
      </c>
      <c r="E39" s="30" t="s">
        <v>7</v>
      </c>
      <c r="F39" s="54" t="s">
        <v>222</v>
      </c>
      <c r="G39" s="146">
        <v>46132</v>
      </c>
      <c r="H39" s="2" t="s">
        <v>6</v>
      </c>
      <c r="I39" s="89">
        <v>483325.64</v>
      </c>
      <c r="J39" s="149" cm="1">
        <f t="array" ref="J39">_xlfn.IFS(D39="INDUSTOWER","40",D39="RELIANCEIN","44",D39="SIEMENSLTD","120",D39="CLEANMAX","40",D39="AVAADA","40",D39="ARCHTECH","40")+G39</f>
        <v>46172</v>
      </c>
      <c r="K39" s="150">
        <v>46135</v>
      </c>
      <c r="L39" s="149">
        <f t="shared" si="0"/>
        <v>46192</v>
      </c>
      <c r="M39" s="6">
        <v>10043</v>
      </c>
      <c r="N39" s="148">
        <f t="shared" si="6"/>
        <v>46132</v>
      </c>
      <c r="O39" s="157"/>
      <c r="P39" s="208"/>
      <c r="Q39" s="18" t="s">
        <v>29</v>
      </c>
      <c r="R39" s="18">
        <f t="shared" ref="R39:R54" si="7">+I39*0.9</f>
        <v>434993.076</v>
      </c>
      <c r="S39" s="3">
        <v>7.6999999999999999E-2</v>
      </c>
      <c r="T39" s="145">
        <f t="shared" ref="T39:T54" si="8">+J39-K39+20</f>
        <v>57</v>
      </c>
      <c r="U39" s="4">
        <f t="shared" ref="U39:U54" si="9">ROUND(+R39*S39*T39/365,0)</f>
        <v>5231</v>
      </c>
      <c r="V39" s="4">
        <f t="shared" ref="V39:V54" si="10">+R39-U39</f>
        <v>429762.076</v>
      </c>
      <c r="W39" s="17"/>
      <c r="X39" s="6"/>
      <c r="Y39" s="94"/>
      <c r="Z39" s="94"/>
      <c r="AA39" s="20"/>
      <c r="AB39" s="19"/>
      <c r="AC39" s="165" cm="1">
        <f t="array" ref="AC39">_xlfn.IFS(D39="INDUSTOWER","275000000",D39="RELIANCEIN","220000000",D39="SIEMENSLTD","83330000")-I39</f>
        <v>274516674.36000001</v>
      </c>
    </row>
    <row r="40" spans="1:29" x14ac:dyDescent="0.25">
      <c r="A40" s="1">
        <v>5</v>
      </c>
      <c r="B40" s="1">
        <f>SUBTOTAL(3,C$3:C40)</f>
        <v>38</v>
      </c>
      <c r="C40" s="6" t="s">
        <v>93</v>
      </c>
      <c r="D40" s="30" t="s">
        <v>27</v>
      </c>
      <c r="E40" s="30" t="s">
        <v>7</v>
      </c>
      <c r="F40" s="54" t="s">
        <v>223</v>
      </c>
      <c r="G40" s="146">
        <v>46132</v>
      </c>
      <c r="H40" s="2" t="s">
        <v>6</v>
      </c>
      <c r="I40" s="89">
        <v>483325.64</v>
      </c>
      <c r="J40" s="149" cm="1">
        <f t="array" ref="J40">_xlfn.IFS(D40="INDUSTOWER","40",D40="RELIANCEIN","44",D40="SIEMENSLTD","120",D40="CLEANMAX","40",D40="AVAADA","40",D40="ARCHTECH","40")+G40</f>
        <v>46172</v>
      </c>
      <c r="K40" s="150">
        <v>46135</v>
      </c>
      <c r="L40" s="149">
        <f t="shared" si="0"/>
        <v>46192</v>
      </c>
      <c r="M40" s="6">
        <v>10044</v>
      </c>
      <c r="N40" s="148">
        <f t="shared" si="6"/>
        <v>46132</v>
      </c>
      <c r="O40" s="157"/>
      <c r="P40" s="208"/>
      <c r="Q40" s="18" t="s">
        <v>29</v>
      </c>
      <c r="R40" s="18">
        <f t="shared" si="7"/>
        <v>434993.076</v>
      </c>
      <c r="S40" s="3">
        <v>7.6999999999999999E-2</v>
      </c>
      <c r="T40" s="145">
        <f t="shared" si="8"/>
        <v>57</v>
      </c>
      <c r="U40" s="4">
        <f t="shared" si="9"/>
        <v>5231</v>
      </c>
      <c r="V40" s="4">
        <f t="shared" si="10"/>
        <v>429762.076</v>
      </c>
      <c r="W40" s="17"/>
      <c r="X40" s="6"/>
      <c r="Y40" s="94"/>
      <c r="Z40" s="94"/>
      <c r="AA40" s="20"/>
      <c r="AB40" s="19"/>
      <c r="AC40" s="165" cm="1">
        <f t="array" ref="AC40">_xlfn.IFS(D40="INDUSTOWER","275000000",D40="RELIANCEIN","220000000",D40="SIEMENSLTD","83330000")-I40</f>
        <v>274516674.36000001</v>
      </c>
    </row>
    <row r="41" spans="1:29" x14ac:dyDescent="0.25">
      <c r="A41" s="1">
        <v>5</v>
      </c>
      <c r="B41" s="1">
        <f>SUBTOTAL(3,C$3:C41)</f>
        <v>39</v>
      </c>
      <c r="C41" s="6" t="s">
        <v>93</v>
      </c>
      <c r="D41" s="30" t="s">
        <v>27</v>
      </c>
      <c r="E41" s="30" t="s">
        <v>7</v>
      </c>
      <c r="F41" s="54" t="s">
        <v>224</v>
      </c>
      <c r="G41" s="146">
        <v>46132</v>
      </c>
      <c r="H41" s="2" t="s">
        <v>6</v>
      </c>
      <c r="I41" s="89">
        <v>483325.64</v>
      </c>
      <c r="J41" s="149" cm="1">
        <f t="array" ref="J41">_xlfn.IFS(D41="INDUSTOWER","40",D41="RELIANCEIN","44",D41="SIEMENSLTD","120",D41="CLEANMAX","40",D41="AVAADA","40",D41="ARCHTECH","40")+G41</f>
        <v>46172</v>
      </c>
      <c r="K41" s="150">
        <v>46135</v>
      </c>
      <c r="L41" s="149">
        <f t="shared" si="0"/>
        <v>46192</v>
      </c>
      <c r="M41" s="6">
        <v>10045</v>
      </c>
      <c r="N41" s="148">
        <f t="shared" si="6"/>
        <v>46132</v>
      </c>
      <c r="O41" s="157"/>
      <c r="P41" s="208"/>
      <c r="Q41" s="18" t="s">
        <v>29</v>
      </c>
      <c r="R41" s="18">
        <f t="shared" si="7"/>
        <v>434993.076</v>
      </c>
      <c r="S41" s="3">
        <v>7.6999999999999999E-2</v>
      </c>
      <c r="T41" s="145">
        <f t="shared" si="8"/>
        <v>57</v>
      </c>
      <c r="U41" s="4">
        <f t="shared" si="9"/>
        <v>5231</v>
      </c>
      <c r="V41" s="4">
        <f t="shared" si="10"/>
        <v>429762.076</v>
      </c>
      <c r="W41" s="17"/>
      <c r="X41" s="6"/>
      <c r="Y41" s="94"/>
      <c r="Z41" s="94"/>
      <c r="AA41" s="20"/>
      <c r="AB41" s="19"/>
      <c r="AC41" s="165" cm="1">
        <f t="array" ref="AC41">_xlfn.IFS(D41="INDUSTOWER","275000000",D41="RELIANCEIN","220000000",D41="SIEMENSLTD","83330000")-I41</f>
        <v>274516674.36000001</v>
      </c>
    </row>
    <row r="42" spans="1:29" x14ac:dyDescent="0.25">
      <c r="A42" s="1">
        <v>5</v>
      </c>
      <c r="B42" s="1">
        <f>SUBTOTAL(3,C$3:C42)</f>
        <v>40</v>
      </c>
      <c r="C42" s="6" t="s">
        <v>93</v>
      </c>
      <c r="D42" s="30" t="s">
        <v>27</v>
      </c>
      <c r="E42" s="30" t="s">
        <v>7</v>
      </c>
      <c r="F42" s="54" t="s">
        <v>225</v>
      </c>
      <c r="G42" s="146">
        <v>46132</v>
      </c>
      <c r="H42" s="2" t="s">
        <v>6</v>
      </c>
      <c r="I42" s="89">
        <v>483325.64</v>
      </c>
      <c r="J42" s="149" cm="1">
        <f t="array" ref="J42">_xlfn.IFS(D42="INDUSTOWER","40",D42="RELIANCEIN","44",D42="SIEMENSLTD","120",D42="CLEANMAX","40",D42="AVAADA","40",D42="ARCHTECH","40")+G42</f>
        <v>46172</v>
      </c>
      <c r="K42" s="150">
        <v>46135</v>
      </c>
      <c r="L42" s="149">
        <f t="shared" si="0"/>
        <v>46192</v>
      </c>
      <c r="M42" s="6">
        <v>10046</v>
      </c>
      <c r="N42" s="148">
        <f t="shared" si="6"/>
        <v>46132</v>
      </c>
      <c r="O42" s="157"/>
      <c r="P42" s="208"/>
      <c r="Q42" s="18" t="s">
        <v>29</v>
      </c>
      <c r="R42" s="18">
        <f t="shared" si="7"/>
        <v>434993.076</v>
      </c>
      <c r="S42" s="3">
        <v>7.6999999999999999E-2</v>
      </c>
      <c r="T42" s="145">
        <f t="shared" si="8"/>
        <v>57</v>
      </c>
      <c r="U42" s="4">
        <f t="shared" si="9"/>
        <v>5231</v>
      </c>
      <c r="V42" s="4">
        <f t="shared" si="10"/>
        <v>429762.076</v>
      </c>
      <c r="W42" s="17"/>
      <c r="X42" s="6"/>
      <c r="Y42" s="94"/>
      <c r="Z42" s="94"/>
      <c r="AA42" s="20"/>
      <c r="AB42" s="19"/>
      <c r="AC42" s="165" cm="1">
        <f t="array" ref="AC42">_xlfn.IFS(D42="INDUSTOWER","275000000",D42="RELIANCEIN","220000000",D42="SIEMENSLTD","83330000")-I42</f>
        <v>274516674.36000001</v>
      </c>
    </row>
    <row r="43" spans="1:29" x14ac:dyDescent="0.25">
      <c r="A43" s="1">
        <v>5</v>
      </c>
      <c r="B43" s="1">
        <f>SUBTOTAL(3,C$3:C43)</f>
        <v>41</v>
      </c>
      <c r="C43" s="6" t="s">
        <v>93</v>
      </c>
      <c r="D43" s="30" t="s">
        <v>27</v>
      </c>
      <c r="E43" s="30" t="s">
        <v>7</v>
      </c>
      <c r="F43" s="54" t="s">
        <v>226</v>
      </c>
      <c r="G43" s="146">
        <v>46132</v>
      </c>
      <c r="H43" s="2" t="s">
        <v>6</v>
      </c>
      <c r="I43" s="89">
        <v>483325.64</v>
      </c>
      <c r="J43" s="149" cm="1">
        <f t="array" ref="J43">_xlfn.IFS(D43="INDUSTOWER","40",D43="RELIANCEIN","44",D43="SIEMENSLTD","120",D43="CLEANMAX","40",D43="AVAADA","40",D43="ARCHTECH","40")+G43</f>
        <v>46172</v>
      </c>
      <c r="K43" s="150">
        <v>46135</v>
      </c>
      <c r="L43" s="149">
        <f t="shared" si="0"/>
        <v>46192</v>
      </c>
      <c r="M43" s="6">
        <v>801</v>
      </c>
      <c r="N43" s="148">
        <f t="shared" si="6"/>
        <v>46132</v>
      </c>
      <c r="O43" s="157"/>
      <c r="P43" s="208"/>
      <c r="Q43" s="18" t="s">
        <v>29</v>
      </c>
      <c r="R43" s="18">
        <f t="shared" si="7"/>
        <v>434993.076</v>
      </c>
      <c r="S43" s="3">
        <v>7.6999999999999999E-2</v>
      </c>
      <c r="T43" s="145">
        <f t="shared" si="8"/>
        <v>57</v>
      </c>
      <c r="U43" s="4">
        <f t="shared" si="9"/>
        <v>5231</v>
      </c>
      <c r="V43" s="4">
        <f t="shared" si="10"/>
        <v>429762.076</v>
      </c>
      <c r="W43" s="17"/>
      <c r="X43" s="6"/>
      <c r="Y43" s="94"/>
      <c r="Z43" s="94"/>
      <c r="AA43" s="20"/>
      <c r="AB43" s="19"/>
      <c r="AC43" s="165" cm="1">
        <f t="array" ref="AC43">_xlfn.IFS(D43="INDUSTOWER","275000000",D43="RELIANCEIN","220000000",D43="SIEMENSLTD","83330000")-I43</f>
        <v>274516674.36000001</v>
      </c>
    </row>
    <row r="44" spans="1:29" x14ac:dyDescent="0.25">
      <c r="A44" s="1">
        <v>5</v>
      </c>
      <c r="B44" s="1">
        <f>SUBTOTAL(3,C$3:C44)</f>
        <v>42</v>
      </c>
      <c r="C44" s="6" t="s">
        <v>93</v>
      </c>
      <c r="D44" s="30" t="s">
        <v>27</v>
      </c>
      <c r="E44" s="30" t="s">
        <v>7</v>
      </c>
      <c r="F44" s="54" t="s">
        <v>227</v>
      </c>
      <c r="G44" s="146">
        <v>46132</v>
      </c>
      <c r="H44" s="2" t="s">
        <v>6</v>
      </c>
      <c r="I44" s="89">
        <v>1006923.5</v>
      </c>
      <c r="J44" s="149" cm="1">
        <f t="array" ref="J44">_xlfn.IFS(D44="INDUSTOWER","40",D44="RELIANCEIN","44",D44="SIEMENSLTD","120",D44="CLEANMAX","40",D44="AVAADA","40",D44="ARCHTECH","40")+G44</f>
        <v>46172</v>
      </c>
      <c r="K44" s="150">
        <v>46135</v>
      </c>
      <c r="L44" s="149">
        <f t="shared" si="0"/>
        <v>46192</v>
      </c>
      <c r="M44" s="6">
        <v>78158</v>
      </c>
      <c r="N44" s="148">
        <f t="shared" si="6"/>
        <v>46132</v>
      </c>
      <c r="O44" s="157"/>
      <c r="P44" s="208"/>
      <c r="Q44" s="18" t="s">
        <v>30</v>
      </c>
      <c r="R44" s="18">
        <f t="shared" si="7"/>
        <v>906231.15</v>
      </c>
      <c r="S44" s="3">
        <v>7.6999999999999999E-2</v>
      </c>
      <c r="T44" s="145">
        <f t="shared" si="8"/>
        <v>57</v>
      </c>
      <c r="U44" s="4">
        <f t="shared" si="9"/>
        <v>10897</v>
      </c>
      <c r="V44" s="4">
        <f t="shared" si="10"/>
        <v>895334.15</v>
      </c>
      <c r="W44" s="17"/>
      <c r="X44" s="6"/>
      <c r="Y44" s="94"/>
      <c r="Z44" s="94"/>
      <c r="AA44" s="20"/>
      <c r="AB44" s="19"/>
      <c r="AC44" s="165" cm="1">
        <f t="array" ref="AC44">_xlfn.IFS(D44="INDUSTOWER","275000000",D44="RELIANCEIN","220000000",D44="SIEMENSLTD","83330000")-I44</f>
        <v>273993076.5</v>
      </c>
    </row>
    <row r="45" spans="1:29" x14ac:dyDescent="0.25">
      <c r="A45" s="1">
        <v>5</v>
      </c>
      <c r="B45" s="1">
        <f>SUBTOTAL(3,C$3:C45)</f>
        <v>43</v>
      </c>
      <c r="C45" s="6" t="s">
        <v>93</v>
      </c>
      <c r="D45" s="30" t="s">
        <v>27</v>
      </c>
      <c r="E45" s="30" t="s">
        <v>7</v>
      </c>
      <c r="F45" s="54" t="s">
        <v>228</v>
      </c>
      <c r="G45" s="146">
        <v>46132</v>
      </c>
      <c r="H45" s="2" t="s">
        <v>6</v>
      </c>
      <c r="I45" s="89">
        <v>671243</v>
      </c>
      <c r="J45" s="149" cm="1">
        <f t="array" ref="J45">_xlfn.IFS(D45="INDUSTOWER","40",D45="RELIANCEIN","44",D45="SIEMENSLTD","120",D45="CLEANMAX","40",D45="AVAADA","40",D45="ARCHTECH","40")+G45</f>
        <v>46172</v>
      </c>
      <c r="K45" s="150">
        <v>46135</v>
      </c>
      <c r="L45" s="149">
        <f t="shared" si="0"/>
        <v>46192</v>
      </c>
      <c r="M45" s="6">
        <v>10047</v>
      </c>
      <c r="N45" s="148">
        <f t="shared" si="6"/>
        <v>46132</v>
      </c>
      <c r="O45" s="157"/>
      <c r="P45" s="208"/>
      <c r="Q45" s="18" t="s">
        <v>53</v>
      </c>
      <c r="R45" s="18">
        <f t="shared" si="7"/>
        <v>604118.70000000007</v>
      </c>
      <c r="S45" s="3">
        <v>7.6999999999999999E-2</v>
      </c>
      <c r="T45" s="145">
        <f t="shared" si="8"/>
        <v>57</v>
      </c>
      <c r="U45" s="4">
        <f t="shared" si="9"/>
        <v>7264</v>
      </c>
      <c r="V45" s="4">
        <f t="shared" si="10"/>
        <v>596854.70000000007</v>
      </c>
      <c r="W45" s="17"/>
      <c r="X45" s="6"/>
      <c r="Y45" s="94"/>
      <c r="Z45" s="94"/>
      <c r="AA45" s="20"/>
      <c r="AB45" s="19"/>
      <c r="AC45" s="165" cm="1">
        <f t="array" ref="AC45">_xlfn.IFS(D45="INDUSTOWER","275000000",D45="RELIANCEIN","220000000",D45="SIEMENSLTD","83330000")-I45</f>
        <v>274328757</v>
      </c>
    </row>
    <row r="46" spans="1:29" x14ac:dyDescent="0.25">
      <c r="A46" s="1">
        <v>5</v>
      </c>
      <c r="B46" s="1">
        <f>SUBTOTAL(3,C$3:C46)</f>
        <v>44</v>
      </c>
      <c r="C46" s="6" t="s">
        <v>93</v>
      </c>
      <c r="D46" s="30" t="s">
        <v>27</v>
      </c>
      <c r="E46" s="30" t="s">
        <v>7</v>
      </c>
      <c r="F46" s="54" t="s">
        <v>229</v>
      </c>
      <c r="G46" s="146">
        <v>46133</v>
      </c>
      <c r="H46" s="2" t="s">
        <v>6</v>
      </c>
      <c r="I46" s="89">
        <v>481668.92</v>
      </c>
      <c r="J46" s="149" cm="1">
        <f t="array" ref="J46">_xlfn.IFS(D46="INDUSTOWER","40",D46="RELIANCEIN","44",D46="SIEMENSLTD","120",D46="CLEANMAX","40",D46="AVAADA","40",D46="ARCHTECH","40")+G46</f>
        <v>46173</v>
      </c>
      <c r="K46" s="150">
        <v>46135</v>
      </c>
      <c r="L46" s="149">
        <f t="shared" si="0"/>
        <v>46193</v>
      </c>
      <c r="M46" s="6">
        <v>10049</v>
      </c>
      <c r="N46" s="148">
        <f t="shared" si="6"/>
        <v>46133</v>
      </c>
      <c r="O46" s="157"/>
      <c r="P46" s="208"/>
      <c r="Q46" s="18" t="s">
        <v>36</v>
      </c>
      <c r="R46" s="18">
        <f t="shared" si="7"/>
        <v>433502.02799999999</v>
      </c>
      <c r="S46" s="3">
        <v>7.6999999999999999E-2</v>
      </c>
      <c r="T46" s="145">
        <f t="shared" si="8"/>
        <v>58</v>
      </c>
      <c r="U46" s="4">
        <f t="shared" si="9"/>
        <v>5304</v>
      </c>
      <c r="V46" s="4">
        <f t="shared" si="10"/>
        <v>428198.02799999999</v>
      </c>
      <c r="W46" s="17"/>
      <c r="X46" s="6"/>
      <c r="Y46" s="94"/>
      <c r="Z46" s="94"/>
      <c r="AA46" s="20"/>
      <c r="AB46" s="19"/>
      <c r="AC46" s="165" cm="1">
        <f t="array" ref="AC46">_xlfn.IFS(D46="INDUSTOWER","275000000",D46="RELIANCEIN","220000000",D46="SIEMENSLTD","83330000")-I46</f>
        <v>274518331.07999998</v>
      </c>
    </row>
    <row r="47" spans="1:29" x14ac:dyDescent="0.25">
      <c r="A47" s="1">
        <v>5</v>
      </c>
      <c r="B47" s="1">
        <f>SUBTOTAL(3,C$3:C47)</f>
        <v>45</v>
      </c>
      <c r="C47" s="6" t="s">
        <v>93</v>
      </c>
      <c r="D47" s="30" t="s">
        <v>27</v>
      </c>
      <c r="E47" s="30" t="s">
        <v>7</v>
      </c>
      <c r="F47" s="54" t="s">
        <v>230</v>
      </c>
      <c r="G47" s="146">
        <v>46133</v>
      </c>
      <c r="H47" s="2" t="s">
        <v>6</v>
      </c>
      <c r="I47" s="89">
        <v>506008.78</v>
      </c>
      <c r="J47" s="149" cm="1">
        <f t="array" ref="J47">_xlfn.IFS(D47="INDUSTOWER","40",D47="RELIANCEIN","44",D47="SIEMENSLTD","120",D47="CLEANMAX","40",D47="AVAADA","40",D47="ARCHTECH","40")+G47</f>
        <v>46173</v>
      </c>
      <c r="K47" s="150">
        <v>46135</v>
      </c>
      <c r="L47" s="149">
        <f t="shared" si="0"/>
        <v>46193</v>
      </c>
      <c r="M47" s="6">
        <v>10050</v>
      </c>
      <c r="N47" s="148">
        <f t="shared" si="6"/>
        <v>46133</v>
      </c>
      <c r="O47" s="157"/>
      <c r="P47" s="208"/>
      <c r="Q47" s="18" t="s">
        <v>29</v>
      </c>
      <c r="R47" s="18">
        <f t="shared" si="7"/>
        <v>455407.90200000006</v>
      </c>
      <c r="S47" s="3">
        <v>7.6999999999999999E-2</v>
      </c>
      <c r="T47" s="145">
        <f t="shared" si="8"/>
        <v>58</v>
      </c>
      <c r="U47" s="4">
        <f t="shared" si="9"/>
        <v>5572</v>
      </c>
      <c r="V47" s="4">
        <f t="shared" si="10"/>
        <v>449835.90200000006</v>
      </c>
      <c r="W47" s="17"/>
      <c r="X47" s="6"/>
      <c r="Y47" s="94"/>
      <c r="Z47" s="94"/>
      <c r="AA47" s="20"/>
      <c r="AB47" s="19"/>
      <c r="AC47" s="165" cm="1">
        <f t="array" ref="AC47">_xlfn.IFS(D47="INDUSTOWER","275000000",D47="RELIANCEIN","220000000",D47="SIEMENSLTD","83330000")-I47</f>
        <v>274493991.22000003</v>
      </c>
    </row>
    <row r="48" spans="1:29" x14ac:dyDescent="0.25">
      <c r="A48" s="1">
        <v>5</v>
      </c>
      <c r="B48" s="1">
        <f>SUBTOTAL(3,C$3:C48)</f>
        <v>46</v>
      </c>
      <c r="C48" s="6" t="s">
        <v>93</v>
      </c>
      <c r="D48" s="30" t="s">
        <v>27</v>
      </c>
      <c r="E48" s="30" t="s">
        <v>7</v>
      </c>
      <c r="F48" s="54" t="s">
        <v>231</v>
      </c>
      <c r="G48" s="146">
        <v>46133</v>
      </c>
      <c r="H48" s="2" t="s">
        <v>6</v>
      </c>
      <c r="I48" s="89">
        <v>506008.78</v>
      </c>
      <c r="J48" s="149" cm="1">
        <f t="array" ref="J48">_xlfn.IFS(D48="INDUSTOWER","40",D48="RELIANCEIN","44",D48="SIEMENSLTD","120",D48="CLEANMAX","40",D48="AVAADA","40",D48="ARCHTECH","40")+G48</f>
        <v>46173</v>
      </c>
      <c r="K48" s="150">
        <v>46135</v>
      </c>
      <c r="L48" s="149">
        <f t="shared" si="0"/>
        <v>46193</v>
      </c>
      <c r="M48" s="6">
        <v>78519</v>
      </c>
      <c r="N48" s="148">
        <f t="shared" si="6"/>
        <v>46133</v>
      </c>
      <c r="O48" s="157"/>
      <c r="P48" s="208"/>
      <c r="Q48" s="18" t="s">
        <v>29</v>
      </c>
      <c r="R48" s="18">
        <f t="shared" si="7"/>
        <v>455407.90200000006</v>
      </c>
      <c r="S48" s="3">
        <v>7.6999999999999999E-2</v>
      </c>
      <c r="T48" s="145">
        <f t="shared" si="8"/>
        <v>58</v>
      </c>
      <c r="U48" s="4">
        <f t="shared" si="9"/>
        <v>5572</v>
      </c>
      <c r="V48" s="4">
        <f t="shared" si="10"/>
        <v>449835.90200000006</v>
      </c>
      <c r="W48" s="17"/>
      <c r="X48" s="6"/>
      <c r="Y48" s="94"/>
      <c r="Z48" s="94"/>
      <c r="AA48" s="20"/>
      <c r="AB48" s="19"/>
      <c r="AC48" s="165" cm="1">
        <f t="array" ref="AC48">_xlfn.IFS(D48="INDUSTOWER","275000000",D48="RELIANCEIN","220000000",D48="SIEMENSLTD","83330000")-I48</f>
        <v>274493991.22000003</v>
      </c>
    </row>
    <row r="49" spans="1:29" x14ac:dyDescent="0.25">
      <c r="A49" s="1">
        <v>5</v>
      </c>
      <c r="B49" s="1">
        <f>SUBTOTAL(3,C$3:C49)</f>
        <v>47</v>
      </c>
      <c r="C49" s="6" t="s">
        <v>93</v>
      </c>
      <c r="D49" s="30" t="s">
        <v>27</v>
      </c>
      <c r="E49" s="30" t="s">
        <v>7</v>
      </c>
      <c r="F49" s="54" t="s">
        <v>232</v>
      </c>
      <c r="G49" s="146">
        <v>46133</v>
      </c>
      <c r="H49" s="2" t="s">
        <v>6</v>
      </c>
      <c r="I49" s="89">
        <v>506008.78</v>
      </c>
      <c r="J49" s="149" cm="1">
        <f t="array" ref="J49">_xlfn.IFS(D49="INDUSTOWER","40",D49="RELIANCEIN","44",D49="SIEMENSLTD","120",D49="CLEANMAX","40",D49="AVAADA","40",D49="ARCHTECH","40")+G49</f>
        <v>46173</v>
      </c>
      <c r="K49" s="150">
        <v>46135</v>
      </c>
      <c r="L49" s="149">
        <f t="shared" si="0"/>
        <v>46193</v>
      </c>
      <c r="M49" s="6">
        <v>78520</v>
      </c>
      <c r="N49" s="148">
        <f t="shared" si="6"/>
        <v>46133</v>
      </c>
      <c r="O49" s="157"/>
      <c r="P49" s="208"/>
      <c r="Q49" s="18" t="s">
        <v>29</v>
      </c>
      <c r="R49" s="18">
        <f t="shared" si="7"/>
        <v>455407.90200000006</v>
      </c>
      <c r="S49" s="3">
        <v>7.6999999999999999E-2</v>
      </c>
      <c r="T49" s="145">
        <f t="shared" si="8"/>
        <v>58</v>
      </c>
      <c r="U49" s="4">
        <f t="shared" si="9"/>
        <v>5572</v>
      </c>
      <c r="V49" s="4">
        <f t="shared" si="10"/>
        <v>449835.90200000006</v>
      </c>
      <c r="W49" s="17"/>
      <c r="X49" s="6"/>
      <c r="Y49" s="94"/>
      <c r="Z49" s="94"/>
      <c r="AA49" s="20"/>
      <c r="AB49" s="19"/>
      <c r="AC49" s="165" cm="1">
        <f t="array" ref="AC49">_xlfn.IFS(D49="INDUSTOWER","275000000",D49="RELIANCEIN","220000000",D49="SIEMENSLTD","83330000")-I49</f>
        <v>274493991.22000003</v>
      </c>
    </row>
    <row r="50" spans="1:29" x14ac:dyDescent="0.25">
      <c r="A50" s="1">
        <v>5</v>
      </c>
      <c r="B50" s="1">
        <f>SUBTOTAL(3,C$3:C50)</f>
        <v>48</v>
      </c>
      <c r="C50" s="6" t="s">
        <v>93</v>
      </c>
      <c r="D50" s="30" t="s">
        <v>27</v>
      </c>
      <c r="E50" s="30" t="s">
        <v>7</v>
      </c>
      <c r="F50" s="54" t="s">
        <v>233</v>
      </c>
      <c r="G50" s="146">
        <v>46133</v>
      </c>
      <c r="H50" s="2" t="s">
        <v>6</v>
      </c>
      <c r="I50" s="89">
        <v>506008.78</v>
      </c>
      <c r="J50" s="149" cm="1">
        <f t="array" ref="J50">_xlfn.IFS(D50="INDUSTOWER","40",D50="RELIANCEIN","44",D50="SIEMENSLTD","120",D50="CLEANMAX","40",D50="AVAADA","40",D50="ARCHTECH","40")+G50</f>
        <v>46173</v>
      </c>
      <c r="K50" s="150">
        <v>46135</v>
      </c>
      <c r="L50" s="149">
        <f t="shared" si="0"/>
        <v>46193</v>
      </c>
      <c r="M50" s="6">
        <v>78521</v>
      </c>
      <c r="N50" s="148">
        <f t="shared" si="6"/>
        <v>46133</v>
      </c>
      <c r="O50" s="157"/>
      <c r="P50" s="208"/>
      <c r="Q50" s="18" t="s">
        <v>29</v>
      </c>
      <c r="R50" s="18">
        <f t="shared" si="7"/>
        <v>455407.90200000006</v>
      </c>
      <c r="S50" s="3">
        <v>7.6999999999999999E-2</v>
      </c>
      <c r="T50" s="145">
        <f t="shared" si="8"/>
        <v>58</v>
      </c>
      <c r="U50" s="4">
        <f t="shared" si="9"/>
        <v>5572</v>
      </c>
      <c r="V50" s="4">
        <f t="shared" si="10"/>
        <v>449835.90200000006</v>
      </c>
      <c r="W50" s="17"/>
      <c r="X50" s="6"/>
      <c r="Y50" s="94"/>
      <c r="Z50" s="94"/>
      <c r="AA50" s="20"/>
      <c r="AB50" s="19"/>
      <c r="AC50" s="165" cm="1">
        <f t="array" ref="AC50">_xlfn.IFS(D50="INDUSTOWER","275000000",D50="RELIANCEIN","220000000",D50="SIEMENSLTD","83330000")-I50</f>
        <v>274493991.22000003</v>
      </c>
    </row>
    <row r="51" spans="1:29" x14ac:dyDescent="0.25">
      <c r="A51" s="1">
        <v>5</v>
      </c>
      <c r="B51" s="1">
        <f>SUBTOTAL(3,C$3:C51)</f>
        <v>49</v>
      </c>
      <c r="C51" s="6" t="s">
        <v>93</v>
      </c>
      <c r="D51" s="30" t="s">
        <v>27</v>
      </c>
      <c r="E51" s="30" t="s">
        <v>7</v>
      </c>
      <c r="F51" s="54" t="s">
        <v>234</v>
      </c>
      <c r="G51" s="146">
        <v>46133</v>
      </c>
      <c r="H51" s="2" t="s">
        <v>6</v>
      </c>
      <c r="I51" s="89">
        <v>506008.78</v>
      </c>
      <c r="J51" s="149" cm="1">
        <f t="array" ref="J51">_xlfn.IFS(D51="INDUSTOWER","40",D51="RELIANCEIN","44",D51="SIEMENSLTD","120",D51="CLEANMAX","40",D51="AVAADA","40",D51="ARCHTECH","40")+G51</f>
        <v>46173</v>
      </c>
      <c r="K51" s="150">
        <v>46135</v>
      </c>
      <c r="L51" s="149">
        <f t="shared" si="0"/>
        <v>46193</v>
      </c>
      <c r="M51" s="6">
        <v>10051</v>
      </c>
      <c r="N51" s="148">
        <f t="shared" si="6"/>
        <v>46133</v>
      </c>
      <c r="O51" s="157"/>
      <c r="P51" s="208"/>
      <c r="Q51" s="18" t="s">
        <v>29</v>
      </c>
      <c r="R51" s="18">
        <f t="shared" si="7"/>
        <v>455407.90200000006</v>
      </c>
      <c r="S51" s="3">
        <v>7.6999999999999999E-2</v>
      </c>
      <c r="T51" s="145">
        <f t="shared" si="8"/>
        <v>58</v>
      </c>
      <c r="U51" s="4">
        <f t="shared" si="9"/>
        <v>5572</v>
      </c>
      <c r="V51" s="4">
        <f t="shared" si="10"/>
        <v>449835.90200000006</v>
      </c>
      <c r="W51" s="17"/>
      <c r="X51" s="6"/>
      <c r="Y51" s="94"/>
      <c r="Z51" s="94"/>
      <c r="AA51" s="20"/>
      <c r="AB51" s="19"/>
      <c r="AC51" s="165" cm="1">
        <f t="array" ref="AC51">_xlfn.IFS(D51="INDUSTOWER","275000000",D51="RELIANCEIN","220000000",D51="SIEMENSLTD","83330000")-I51</f>
        <v>274493991.22000003</v>
      </c>
    </row>
    <row r="52" spans="1:29" x14ac:dyDescent="0.25">
      <c r="A52" s="1">
        <v>5</v>
      </c>
      <c r="B52" s="1">
        <f>SUBTOTAL(3,C$3:C52)</f>
        <v>50</v>
      </c>
      <c r="C52" s="6" t="s">
        <v>93</v>
      </c>
      <c r="D52" s="30" t="s">
        <v>27</v>
      </c>
      <c r="E52" s="30" t="s">
        <v>7</v>
      </c>
      <c r="F52" s="54" t="s">
        <v>235</v>
      </c>
      <c r="G52" s="146">
        <v>46133</v>
      </c>
      <c r="H52" s="2" t="s">
        <v>6</v>
      </c>
      <c r="I52" s="89">
        <v>506008.78</v>
      </c>
      <c r="J52" s="149" cm="1">
        <f t="array" ref="J52">_xlfn.IFS(D52="INDUSTOWER","40",D52="RELIANCEIN","44",D52="SIEMENSLTD","120",D52="CLEANMAX","40",D52="AVAADA","40",D52="ARCHTECH","40")+G52</f>
        <v>46173</v>
      </c>
      <c r="K52" s="150">
        <v>46135</v>
      </c>
      <c r="L52" s="149">
        <f t="shared" si="0"/>
        <v>46193</v>
      </c>
      <c r="M52" s="6">
        <v>78522</v>
      </c>
      <c r="N52" s="148">
        <f t="shared" si="6"/>
        <v>46133</v>
      </c>
      <c r="O52" s="157"/>
      <c r="P52" s="208"/>
      <c r="Q52" s="18" t="s">
        <v>29</v>
      </c>
      <c r="R52" s="18">
        <f t="shared" si="7"/>
        <v>455407.90200000006</v>
      </c>
      <c r="S52" s="3">
        <v>7.6999999999999999E-2</v>
      </c>
      <c r="T52" s="145">
        <f t="shared" si="8"/>
        <v>58</v>
      </c>
      <c r="U52" s="4">
        <f t="shared" si="9"/>
        <v>5572</v>
      </c>
      <c r="V52" s="4">
        <f t="shared" si="10"/>
        <v>449835.90200000006</v>
      </c>
      <c r="W52" s="17"/>
      <c r="X52" s="6"/>
      <c r="Y52" s="94"/>
      <c r="Z52" s="94"/>
      <c r="AA52" s="20"/>
      <c r="AB52" s="19"/>
      <c r="AC52" s="165" cm="1">
        <f t="array" ref="AC52">_xlfn.IFS(D52="INDUSTOWER","275000000",D52="RELIANCEIN","220000000",D52="SIEMENSLTD","83330000")-I52</f>
        <v>274493991.22000003</v>
      </c>
    </row>
    <row r="53" spans="1:29" x14ac:dyDescent="0.25">
      <c r="A53" s="1">
        <v>6</v>
      </c>
      <c r="B53" s="1">
        <f>SUBTOTAL(3,C$3:C53)</f>
        <v>51</v>
      </c>
      <c r="C53" s="6" t="s">
        <v>93</v>
      </c>
      <c r="D53" s="30" t="s">
        <v>27</v>
      </c>
      <c r="E53" s="30" t="s">
        <v>7</v>
      </c>
      <c r="F53" s="54" t="s">
        <v>236</v>
      </c>
      <c r="G53" s="146">
        <v>46134</v>
      </c>
      <c r="H53" s="2" t="s">
        <v>6</v>
      </c>
      <c r="I53" s="89">
        <v>873873.78</v>
      </c>
      <c r="J53" s="149" cm="1">
        <f t="array" ref="J53">_xlfn.IFS(D53="INDUSTOWER","40",D53="RELIANCEIN","44",D53="SIEMENSLTD","120",D53="CLEANMAX","40",D53="AVAADA","40",D53="ARCHTECH","40")+G53</f>
        <v>46174</v>
      </c>
      <c r="K53" s="150">
        <v>46135</v>
      </c>
      <c r="L53" s="149">
        <f t="shared" si="0"/>
        <v>46194</v>
      </c>
      <c r="M53" s="6">
        <v>25333</v>
      </c>
      <c r="N53" s="148">
        <f t="shared" si="6"/>
        <v>46134</v>
      </c>
      <c r="O53" s="157"/>
      <c r="P53" s="208"/>
      <c r="Q53" s="18" t="s">
        <v>117</v>
      </c>
      <c r="R53" s="18">
        <f t="shared" si="7"/>
        <v>786486.402</v>
      </c>
      <c r="S53" s="3">
        <v>7.6999999999999999E-2</v>
      </c>
      <c r="T53" s="145">
        <f t="shared" si="8"/>
        <v>59</v>
      </c>
      <c r="U53" s="4">
        <f t="shared" si="9"/>
        <v>9789</v>
      </c>
      <c r="V53" s="4">
        <f t="shared" si="10"/>
        <v>776697.402</v>
      </c>
      <c r="W53" s="17"/>
      <c r="X53" s="6"/>
      <c r="Y53" s="94"/>
      <c r="Z53" s="94"/>
      <c r="AA53" s="20"/>
      <c r="AB53" s="19"/>
      <c r="AC53" s="165" cm="1">
        <f t="array" ref="AC53">_xlfn.IFS(D53="INDUSTOWER","275000000",D53="RELIANCEIN","220000000",D53="SIEMENSLTD","83330000")-I53</f>
        <v>274126126.22000003</v>
      </c>
    </row>
    <row r="54" spans="1:29" x14ac:dyDescent="0.25">
      <c r="A54" s="1">
        <v>6</v>
      </c>
      <c r="B54" s="1">
        <f>SUBTOTAL(3,C$3:C54)</f>
        <v>52</v>
      </c>
      <c r="C54" s="6" t="s">
        <v>93</v>
      </c>
      <c r="D54" s="30" t="s">
        <v>27</v>
      </c>
      <c r="E54" s="30" t="s">
        <v>7</v>
      </c>
      <c r="F54" s="54" t="s">
        <v>237</v>
      </c>
      <c r="G54" s="146">
        <v>46134</v>
      </c>
      <c r="H54" s="2" t="s">
        <v>6</v>
      </c>
      <c r="I54" s="89">
        <v>483325.64</v>
      </c>
      <c r="J54" s="149" cm="1">
        <f t="array" ref="J54">_xlfn.IFS(D54="INDUSTOWER","40",D54="RELIANCEIN","44",D54="SIEMENSLTD","120",D54="CLEANMAX","40",D54="AVAADA","40",D54="ARCHTECH","40")+G54</f>
        <v>46174</v>
      </c>
      <c r="K54" s="150">
        <v>46135</v>
      </c>
      <c r="L54" s="149">
        <f t="shared" si="0"/>
        <v>46194</v>
      </c>
      <c r="M54" s="6">
        <v>10054</v>
      </c>
      <c r="N54" s="148">
        <f t="shared" si="6"/>
        <v>46134</v>
      </c>
      <c r="O54" s="157"/>
      <c r="P54" s="208"/>
      <c r="Q54" s="18" t="s">
        <v>29</v>
      </c>
      <c r="R54" s="18">
        <f t="shared" si="7"/>
        <v>434993.076</v>
      </c>
      <c r="S54" s="3">
        <v>7.6999999999999999E-2</v>
      </c>
      <c r="T54" s="145">
        <f t="shared" si="8"/>
        <v>59</v>
      </c>
      <c r="U54" s="4">
        <f t="shared" si="9"/>
        <v>5414</v>
      </c>
      <c r="V54" s="4">
        <f t="shared" si="10"/>
        <v>429579.076</v>
      </c>
      <c r="W54" s="17"/>
      <c r="X54" s="6"/>
      <c r="Y54" s="94"/>
      <c r="Z54" s="94"/>
      <c r="AA54" s="20"/>
      <c r="AB54" s="19"/>
      <c r="AC54" s="165" cm="1">
        <f t="array" ref="AC54">_xlfn.IFS(D54="INDUSTOWER","275000000",D54="RELIANCEIN","220000000",D54="SIEMENSLTD","83330000")-I54</f>
        <v>274516674.36000001</v>
      </c>
    </row>
    <row r="55" spans="1:29" x14ac:dyDescent="0.25">
      <c r="A55" s="1">
        <v>6</v>
      </c>
      <c r="B55" s="1">
        <f>SUBTOTAL(3,C$3:C55)</f>
        <v>53</v>
      </c>
      <c r="C55" s="6" t="s">
        <v>93</v>
      </c>
      <c r="D55" s="30" t="s">
        <v>27</v>
      </c>
      <c r="E55" s="30" t="s">
        <v>7</v>
      </c>
      <c r="F55" s="54" t="s">
        <v>238</v>
      </c>
      <c r="G55" s="146">
        <v>46134</v>
      </c>
      <c r="H55" s="2" t="s">
        <v>6</v>
      </c>
      <c r="I55" s="89">
        <v>483325.64</v>
      </c>
      <c r="J55" s="149" cm="1">
        <f t="array" ref="J55">_xlfn.IFS(D55="INDUSTOWER","40",D55="RELIANCEIN","44",D55="SIEMENSLTD","120",D55="CLEANMAX","40",D55="AVAADA","40",D55="ARCHTECH","40")+G55</f>
        <v>46174</v>
      </c>
      <c r="K55" s="150">
        <v>46135</v>
      </c>
      <c r="L55" s="149">
        <f t="shared" si="0"/>
        <v>46194</v>
      </c>
      <c r="M55" s="6">
        <v>10053</v>
      </c>
      <c r="N55" s="148">
        <f t="shared" si="6"/>
        <v>46134</v>
      </c>
      <c r="O55" s="157"/>
      <c r="P55" s="208"/>
      <c r="Q55" s="18" t="s">
        <v>29</v>
      </c>
      <c r="R55" s="18">
        <f t="shared" ref="R55:R57" si="11">+I55*0.9</f>
        <v>434993.076</v>
      </c>
      <c r="S55" s="3">
        <v>7.6999999999999999E-2</v>
      </c>
      <c r="T55" s="145">
        <f t="shared" ref="T55:T57" si="12">+J55-K55+20</f>
        <v>59</v>
      </c>
      <c r="U55" s="4">
        <f t="shared" ref="U55:U57" si="13">ROUND(+R55*S55*T55/365,0)</f>
        <v>5414</v>
      </c>
      <c r="V55" s="4">
        <f t="shared" ref="V55:V57" si="14">+R55-U55</f>
        <v>429579.076</v>
      </c>
      <c r="W55" s="17"/>
      <c r="X55" s="6"/>
      <c r="Y55" s="94"/>
      <c r="Z55" s="94"/>
      <c r="AA55" s="20"/>
      <c r="AB55" s="19"/>
      <c r="AC55" s="165" cm="1">
        <f t="array" ref="AC55">_xlfn.IFS(D55="INDUSTOWER","275000000",D55="RELIANCEIN","220000000",D55="SIEMENSLTD","83330000")-I55</f>
        <v>274516674.36000001</v>
      </c>
    </row>
    <row r="56" spans="1:29" x14ac:dyDescent="0.25">
      <c r="A56" s="1">
        <f>SUBTOTAL(3,B$3:B56)</f>
        <v>0</v>
      </c>
      <c r="B56" s="1">
        <f>SUBTOTAL(3,C$3:C56)</f>
        <v>54</v>
      </c>
      <c r="C56" s="6" t="s">
        <v>93</v>
      </c>
      <c r="D56" s="30" t="s">
        <v>27</v>
      </c>
      <c r="E56" s="30" t="s">
        <v>7</v>
      </c>
      <c r="F56" s="54" t="s">
        <v>239</v>
      </c>
      <c r="G56" s="146">
        <v>46134</v>
      </c>
      <c r="H56" s="2" t="s">
        <v>6</v>
      </c>
      <c r="I56" s="89">
        <v>483325.64</v>
      </c>
      <c r="J56" s="149" cm="1">
        <f t="array" ref="J56">_xlfn.IFS(D56="INDUSTOWER","40",D56="RELIANCEIN","44",D56="SIEMENSLTD","120",D56="CLEANMAX","40",D56="AVAADA","40",D56="ARCHTECH","40")+G56</f>
        <v>46174</v>
      </c>
      <c r="K56" s="150">
        <v>46135</v>
      </c>
      <c r="L56" s="149">
        <f>+J56+20</f>
        <v>46194</v>
      </c>
      <c r="M56" s="6"/>
      <c r="N56" s="148">
        <f>+G56</f>
        <v>46134</v>
      </c>
      <c r="O56" s="157"/>
      <c r="P56" s="208"/>
      <c r="Q56" s="18" t="s">
        <v>29</v>
      </c>
      <c r="R56" s="18">
        <f>+I56*0.9</f>
        <v>434993.076</v>
      </c>
      <c r="S56" s="3"/>
      <c r="T56" s="145">
        <f>+J56-K56+20</f>
        <v>59</v>
      </c>
      <c r="U56" s="4">
        <f>ROUND(+R56*S56*T56/365,0)</f>
        <v>0</v>
      </c>
      <c r="V56" s="4">
        <f>+R56-U56</f>
        <v>434993.076</v>
      </c>
      <c r="W56" s="17"/>
      <c r="X56" s="6"/>
      <c r="Y56" s="94"/>
      <c r="Z56" s="94"/>
      <c r="AA56" s="20"/>
      <c r="AB56" s="19"/>
      <c r="AC56" s="165" cm="1">
        <f t="array" ref="AC56">_xlfn.IFS(D56="INDUSTOWER","275000000",D56="RELIANCEIN","220000000",D56="SIEMENSLTD","83330000")-I56</f>
        <v>274516674.36000001</v>
      </c>
    </row>
    <row r="57" spans="1:29" x14ac:dyDescent="0.25">
      <c r="A57" s="1">
        <v>6</v>
      </c>
      <c r="B57" s="1">
        <f>SUBTOTAL(3,C$3:C57)</f>
        <v>55</v>
      </c>
      <c r="C57" s="6" t="s">
        <v>93</v>
      </c>
      <c r="D57" s="30" t="s">
        <v>27</v>
      </c>
      <c r="E57" s="30" t="s">
        <v>7</v>
      </c>
      <c r="F57" s="54" t="s">
        <v>240</v>
      </c>
      <c r="G57" s="146">
        <v>46134</v>
      </c>
      <c r="H57" s="2" t="s">
        <v>6</v>
      </c>
      <c r="I57" s="89">
        <v>483325.64</v>
      </c>
      <c r="J57" s="149" cm="1">
        <f t="array" ref="J57">_xlfn.IFS(D57="INDUSTOWER","40",D57="RELIANCEIN","44",D57="SIEMENSLTD","120",D57="CLEANMAX","40",D57="AVAADA","40",D57="ARCHTECH","40")+G57</f>
        <v>46174</v>
      </c>
      <c r="K57" s="150">
        <v>46135</v>
      </c>
      <c r="L57" s="149">
        <f t="shared" si="0"/>
        <v>46194</v>
      </c>
      <c r="M57" s="6">
        <v>21129</v>
      </c>
      <c r="N57" s="148">
        <f t="shared" si="6"/>
        <v>46134</v>
      </c>
      <c r="O57" s="157"/>
      <c r="P57" s="208"/>
      <c r="Q57" s="18" t="s">
        <v>29</v>
      </c>
      <c r="R57" s="18">
        <f t="shared" si="11"/>
        <v>434993.076</v>
      </c>
      <c r="S57" s="3">
        <v>7.6999999999999999E-2</v>
      </c>
      <c r="T57" s="145">
        <f t="shared" si="12"/>
        <v>59</v>
      </c>
      <c r="U57" s="4">
        <f t="shared" si="13"/>
        <v>5414</v>
      </c>
      <c r="V57" s="4">
        <f t="shared" si="14"/>
        <v>429579.076</v>
      </c>
      <c r="W57" s="17"/>
      <c r="X57" s="6"/>
      <c r="Y57" s="94"/>
      <c r="Z57" s="94"/>
      <c r="AA57" s="20"/>
      <c r="AB57" s="19"/>
      <c r="AC57" s="165" cm="1">
        <f t="array" ref="AC57">_xlfn.IFS(D57="INDUSTOWER","275000000",D57="RELIANCEIN","220000000",D57="SIEMENSLTD","83330000")-I57</f>
        <v>274516674.36000001</v>
      </c>
    </row>
    <row r="58" spans="1:29" x14ac:dyDescent="0.25">
      <c r="A58" s="1">
        <v>7</v>
      </c>
      <c r="B58" s="1">
        <f>SUBTOTAL(3,C$3:C58)</f>
        <v>56</v>
      </c>
      <c r="C58" s="6" t="s">
        <v>93</v>
      </c>
      <c r="D58" s="30" t="s">
        <v>27</v>
      </c>
      <c r="E58" s="30" t="s">
        <v>7</v>
      </c>
      <c r="F58" s="54" t="s">
        <v>346</v>
      </c>
      <c r="G58" s="146">
        <v>46135</v>
      </c>
      <c r="H58" s="2" t="s">
        <v>6</v>
      </c>
      <c r="I58" s="89">
        <v>455946.1</v>
      </c>
      <c r="J58" s="149" cm="1">
        <f t="array" ref="J58">_xlfn.IFS(D58="INDUSTOWER","40",D58="RELIANCEIN","44",D58="SIEMENSLTD","120",D58="CLEANMAX","40",D58="AVAADA","40",D58="ARCHTECH","40")+G58</f>
        <v>46175</v>
      </c>
      <c r="K58" s="150">
        <v>46135</v>
      </c>
      <c r="L58" s="149">
        <f t="shared" ref="L58:L74" si="15">+J58+20</f>
        <v>46195</v>
      </c>
      <c r="M58" s="6" t="s">
        <v>348</v>
      </c>
      <c r="N58" s="148">
        <f t="shared" si="6"/>
        <v>46135</v>
      </c>
      <c r="O58" s="157"/>
      <c r="P58" s="208"/>
      <c r="Q58" s="18" t="s">
        <v>28</v>
      </c>
      <c r="R58" s="18">
        <f t="shared" ref="R58:R74" si="16">+I58*0.9</f>
        <v>410351.49</v>
      </c>
      <c r="S58" s="3">
        <v>7.6999999999999999E-2</v>
      </c>
      <c r="T58" s="145">
        <f t="shared" ref="T58:T74" si="17">+J58-K58+20</f>
        <v>60</v>
      </c>
      <c r="U58" s="4">
        <f t="shared" ref="U58:U74" si="18">ROUND(+R58*S58*T58/365,0)</f>
        <v>5194</v>
      </c>
      <c r="V58" s="4">
        <f t="shared" ref="V58:V74" si="19">+R58-U58</f>
        <v>405157.49</v>
      </c>
      <c r="W58" s="17"/>
      <c r="X58" s="6"/>
      <c r="Y58" s="94"/>
      <c r="Z58" s="94"/>
      <c r="AA58" s="20"/>
      <c r="AB58" s="19"/>
      <c r="AC58" s="165" cm="1">
        <f t="array" ref="AC58">_xlfn.IFS(D58="INDUSTOWER","275000000",D58="RELIANCEIN","220000000",D58="SIEMENSLTD","83330000")-I58</f>
        <v>274544053.89999998</v>
      </c>
    </row>
    <row r="59" spans="1:29" x14ac:dyDescent="0.25">
      <c r="A59" s="1">
        <v>7</v>
      </c>
      <c r="B59" s="1">
        <f>SUBTOTAL(3,C$3:C59)</f>
        <v>57</v>
      </c>
      <c r="C59" s="6" t="s">
        <v>93</v>
      </c>
      <c r="D59" s="30" t="s">
        <v>27</v>
      </c>
      <c r="E59" s="30" t="s">
        <v>7</v>
      </c>
      <c r="F59" s="54" t="s">
        <v>347</v>
      </c>
      <c r="G59" s="146">
        <v>46135</v>
      </c>
      <c r="H59" s="2" t="s">
        <v>6</v>
      </c>
      <c r="I59" s="89">
        <v>483325.64</v>
      </c>
      <c r="J59" s="149" cm="1">
        <f t="array" ref="J59">_xlfn.IFS(D59="INDUSTOWER","40",D59="RELIANCEIN","44",D59="SIEMENSLTD","120",D59="CLEANMAX","40",D59="AVAADA","40",D59="ARCHTECH","40")+G59</f>
        <v>46175</v>
      </c>
      <c r="K59" s="150">
        <v>46135</v>
      </c>
      <c r="L59" s="149">
        <f t="shared" si="15"/>
        <v>46195</v>
      </c>
      <c r="M59" s="6" t="s">
        <v>349</v>
      </c>
      <c r="N59" s="148">
        <f t="shared" si="6"/>
        <v>46135</v>
      </c>
      <c r="O59" s="157"/>
      <c r="P59" s="208"/>
      <c r="Q59" s="18" t="s">
        <v>29</v>
      </c>
      <c r="R59" s="18">
        <f t="shared" si="16"/>
        <v>434993.076</v>
      </c>
      <c r="S59" s="3">
        <v>7.6999999999999999E-2</v>
      </c>
      <c r="T59" s="145">
        <f t="shared" si="17"/>
        <v>60</v>
      </c>
      <c r="U59" s="4">
        <f t="shared" si="18"/>
        <v>5506</v>
      </c>
      <c r="V59" s="4">
        <f t="shared" si="19"/>
        <v>429487.076</v>
      </c>
      <c r="W59" s="17"/>
      <c r="X59" s="6"/>
      <c r="Y59" s="94"/>
      <c r="Z59" s="94"/>
      <c r="AA59" s="20"/>
      <c r="AB59" s="19"/>
      <c r="AC59" s="165" cm="1">
        <f t="array" ref="AC59">_xlfn.IFS(D59="INDUSTOWER","275000000",D59="RELIANCEIN","220000000",D59="SIEMENSLTD","83330000")-I59</f>
        <v>274516674.36000001</v>
      </c>
    </row>
    <row r="60" spans="1:29" x14ac:dyDescent="0.25">
      <c r="A60" s="1">
        <v>8</v>
      </c>
      <c r="B60" s="1">
        <f>SUBTOTAL(3,C$3:C60)</f>
        <v>58</v>
      </c>
      <c r="C60" s="6" t="s">
        <v>93</v>
      </c>
      <c r="D60" s="30" t="s">
        <v>27</v>
      </c>
      <c r="E60" s="30" t="s">
        <v>7</v>
      </c>
      <c r="F60" s="54" t="s">
        <v>415</v>
      </c>
      <c r="G60" s="146">
        <v>46136</v>
      </c>
      <c r="H60" s="2" t="s">
        <v>6</v>
      </c>
      <c r="I60" s="89">
        <v>684578.18</v>
      </c>
      <c r="J60" s="149" cm="1">
        <f t="array" ref="J60">_xlfn.IFS(D60="INDUSTOWER","40",D60="RELIANCEIN","44",D60="SIEMENSLTD","120",D60="CLEANMAX","40",D60="AVAADA","40",D60="ARCHTECH","40")+G60</f>
        <v>46176</v>
      </c>
      <c r="K60" s="150">
        <v>46136</v>
      </c>
      <c r="L60" s="149">
        <f t="shared" si="15"/>
        <v>46196</v>
      </c>
      <c r="M60" s="6" t="s">
        <v>79</v>
      </c>
      <c r="N60" s="148">
        <f t="shared" ref="N60:N69" si="20">+G60</f>
        <v>46136</v>
      </c>
      <c r="O60" s="157"/>
      <c r="P60" s="208"/>
      <c r="Q60" s="18" t="s">
        <v>70</v>
      </c>
      <c r="R60" s="18">
        <f t="shared" si="16"/>
        <v>616120.36200000008</v>
      </c>
      <c r="S60" s="3">
        <v>7.6999999999999999E-2</v>
      </c>
      <c r="T60" s="145">
        <f t="shared" si="17"/>
        <v>60</v>
      </c>
      <c r="U60" s="4">
        <f t="shared" si="18"/>
        <v>7799</v>
      </c>
      <c r="V60" s="4">
        <f t="shared" si="19"/>
        <v>608321.36200000008</v>
      </c>
      <c r="W60" s="17"/>
      <c r="X60" s="6"/>
      <c r="Y60" s="94"/>
      <c r="Z60" s="94"/>
      <c r="AA60" s="20"/>
      <c r="AB60" s="19"/>
      <c r="AC60" s="165" cm="1">
        <f t="array" ref="AC60">_xlfn.IFS(D60="INDUSTOWER","275000000",D60="RELIANCEIN","220000000",D60="SIEMENSLTD","83330000")-I60</f>
        <v>274315421.81999999</v>
      </c>
    </row>
    <row r="61" spans="1:29" x14ac:dyDescent="0.25">
      <c r="A61" s="1">
        <v>8</v>
      </c>
      <c r="B61" s="1">
        <f>SUBTOTAL(3,C$3:C61)</f>
        <v>59</v>
      </c>
      <c r="C61" s="6" t="s">
        <v>93</v>
      </c>
      <c r="D61" s="30" t="s">
        <v>27</v>
      </c>
      <c r="E61" s="30" t="s">
        <v>7</v>
      </c>
      <c r="F61" s="54" t="s">
        <v>416</v>
      </c>
      <c r="G61" s="146">
        <v>46136</v>
      </c>
      <c r="H61" s="2" t="s">
        <v>6</v>
      </c>
      <c r="I61" s="89">
        <v>75263.94</v>
      </c>
      <c r="J61" s="149" cm="1">
        <f t="array" ref="J61">_xlfn.IFS(D61="INDUSTOWER","40",D61="RELIANCEIN","44",D61="SIEMENSLTD","120",D61="CLEANMAX","40",D61="AVAADA","40",D61="ARCHTECH","40")+G61</f>
        <v>46176</v>
      </c>
      <c r="K61" s="150">
        <v>46136</v>
      </c>
      <c r="L61" s="149">
        <f t="shared" si="15"/>
        <v>46196</v>
      </c>
      <c r="M61" s="6" t="s">
        <v>80</v>
      </c>
      <c r="N61" s="148">
        <f t="shared" si="20"/>
        <v>46136</v>
      </c>
      <c r="O61" s="157"/>
      <c r="P61" s="208"/>
      <c r="Q61" s="18" t="s">
        <v>69</v>
      </c>
      <c r="R61" s="18">
        <f t="shared" si="16"/>
        <v>67737.546000000002</v>
      </c>
      <c r="S61" s="3">
        <v>7.6999999999999999E-2</v>
      </c>
      <c r="T61" s="145">
        <f t="shared" si="17"/>
        <v>60</v>
      </c>
      <c r="U61" s="4">
        <f t="shared" si="18"/>
        <v>857</v>
      </c>
      <c r="V61" s="4">
        <f t="shared" si="19"/>
        <v>66880.546000000002</v>
      </c>
      <c r="W61" s="17"/>
      <c r="X61" s="6"/>
      <c r="Y61" s="94"/>
      <c r="Z61" s="94"/>
      <c r="AA61" s="20"/>
      <c r="AB61" s="19"/>
      <c r="AC61" s="165" cm="1">
        <f t="array" ref="AC61">_xlfn.IFS(D61="INDUSTOWER","275000000",D61="RELIANCEIN","220000000",D61="SIEMENSLTD","83330000")-I61</f>
        <v>274924736.06</v>
      </c>
    </row>
    <row r="62" spans="1:29" x14ac:dyDescent="0.25">
      <c r="A62" s="1">
        <v>8</v>
      </c>
      <c r="B62" s="1">
        <f>SUBTOTAL(3,C$3:C62)</f>
        <v>60</v>
      </c>
      <c r="C62" s="6" t="s">
        <v>93</v>
      </c>
      <c r="D62" s="30" t="s">
        <v>27</v>
      </c>
      <c r="E62" s="30" t="s">
        <v>7</v>
      </c>
      <c r="F62" s="54" t="s">
        <v>417</v>
      </c>
      <c r="G62" s="146">
        <v>46136</v>
      </c>
      <c r="H62" s="2" t="s">
        <v>6</v>
      </c>
      <c r="I62" s="89">
        <v>684578.18</v>
      </c>
      <c r="J62" s="149" cm="1">
        <f t="array" ref="J62">_xlfn.IFS(D62="INDUSTOWER","40",D62="RELIANCEIN","44",D62="SIEMENSLTD","120",D62="CLEANMAX","40",D62="AVAADA","40",D62="ARCHTECH","40")+G62</f>
        <v>46176</v>
      </c>
      <c r="K62" s="150">
        <v>46136</v>
      </c>
      <c r="L62" s="149">
        <f t="shared" si="15"/>
        <v>46196</v>
      </c>
      <c r="M62" s="6" t="s">
        <v>81</v>
      </c>
      <c r="N62" s="148">
        <f t="shared" si="20"/>
        <v>46136</v>
      </c>
      <c r="O62" s="157"/>
      <c r="P62" s="208"/>
      <c r="Q62" s="18" t="s">
        <v>70</v>
      </c>
      <c r="R62" s="18">
        <f t="shared" si="16"/>
        <v>616120.36200000008</v>
      </c>
      <c r="S62" s="3">
        <v>7.6999999999999999E-2</v>
      </c>
      <c r="T62" s="145">
        <f t="shared" si="17"/>
        <v>60</v>
      </c>
      <c r="U62" s="4">
        <f t="shared" si="18"/>
        <v>7799</v>
      </c>
      <c r="V62" s="4">
        <f t="shared" si="19"/>
        <v>608321.36200000008</v>
      </c>
      <c r="W62" s="17"/>
      <c r="X62" s="6"/>
      <c r="Y62" s="94"/>
      <c r="Z62" s="94"/>
      <c r="AA62" s="20"/>
      <c r="AB62" s="19"/>
      <c r="AC62" s="165" cm="1">
        <f t="array" ref="AC62">_xlfn.IFS(D62="INDUSTOWER","275000000",D62="RELIANCEIN","220000000",D62="SIEMENSLTD","83330000")-I62</f>
        <v>274315421.81999999</v>
      </c>
    </row>
    <row r="63" spans="1:29" x14ac:dyDescent="0.25">
      <c r="A63" s="1">
        <v>8</v>
      </c>
      <c r="B63" s="1">
        <f>SUBTOTAL(3,C$3:C63)</f>
        <v>61</v>
      </c>
      <c r="C63" s="6" t="s">
        <v>93</v>
      </c>
      <c r="D63" s="30" t="s">
        <v>27</v>
      </c>
      <c r="E63" s="30" t="s">
        <v>7</v>
      </c>
      <c r="F63" s="54" t="s">
        <v>418</v>
      </c>
      <c r="G63" s="146">
        <v>46136</v>
      </c>
      <c r="H63" s="2" t="s">
        <v>6</v>
      </c>
      <c r="I63" s="89">
        <v>75263.94</v>
      </c>
      <c r="J63" s="149" cm="1">
        <f t="array" ref="J63">_xlfn.IFS(D63="INDUSTOWER","40",D63="RELIANCEIN","44",D63="SIEMENSLTD","120",D63="CLEANMAX","40",D63="AVAADA","40",D63="ARCHTECH","40")+G63</f>
        <v>46176</v>
      </c>
      <c r="K63" s="150">
        <v>46136</v>
      </c>
      <c r="L63" s="149">
        <f t="shared" si="15"/>
        <v>46196</v>
      </c>
      <c r="M63" s="6" t="s">
        <v>82</v>
      </c>
      <c r="N63" s="148">
        <f t="shared" si="20"/>
        <v>46136</v>
      </c>
      <c r="O63" s="157"/>
      <c r="P63" s="208"/>
      <c r="Q63" s="18" t="s">
        <v>69</v>
      </c>
      <c r="R63" s="18">
        <f t="shared" si="16"/>
        <v>67737.546000000002</v>
      </c>
      <c r="S63" s="3">
        <v>7.6999999999999999E-2</v>
      </c>
      <c r="T63" s="145">
        <f t="shared" si="17"/>
        <v>60</v>
      </c>
      <c r="U63" s="4">
        <f t="shared" si="18"/>
        <v>857</v>
      </c>
      <c r="V63" s="4">
        <f t="shared" si="19"/>
        <v>66880.546000000002</v>
      </c>
      <c r="W63" s="17"/>
      <c r="X63" s="6"/>
      <c r="Y63" s="94"/>
      <c r="Z63" s="94"/>
      <c r="AA63" s="20"/>
      <c r="AB63" s="19"/>
      <c r="AC63" s="165" cm="1">
        <f t="array" ref="AC63">_xlfn.IFS(D63="INDUSTOWER","275000000",D63="RELIANCEIN","220000000",D63="SIEMENSLTD","83330000")-I63</f>
        <v>274924736.06</v>
      </c>
    </row>
    <row r="64" spans="1:29" x14ac:dyDescent="0.25">
      <c r="A64" s="1">
        <v>8</v>
      </c>
      <c r="B64" s="1">
        <f>SUBTOTAL(3,C$3:C64)</f>
        <v>62</v>
      </c>
      <c r="C64" s="6" t="s">
        <v>93</v>
      </c>
      <c r="D64" s="30" t="s">
        <v>27</v>
      </c>
      <c r="E64" s="30" t="s">
        <v>7</v>
      </c>
      <c r="F64" s="54" t="s">
        <v>419</v>
      </c>
      <c r="G64" s="146">
        <v>46136</v>
      </c>
      <c r="H64" s="2" t="s">
        <v>6</v>
      </c>
      <c r="I64" s="89">
        <v>574467.66</v>
      </c>
      <c r="J64" s="149" cm="1">
        <f t="array" ref="J64">_xlfn.IFS(D64="INDUSTOWER","40",D64="RELIANCEIN","44",D64="SIEMENSLTD","120",D64="CLEANMAX","40",D64="AVAADA","40",D64="ARCHTECH","40")+G64</f>
        <v>46176</v>
      </c>
      <c r="K64" s="150">
        <v>46136</v>
      </c>
      <c r="L64" s="149">
        <f t="shared" si="15"/>
        <v>46196</v>
      </c>
      <c r="M64" s="6" t="s">
        <v>425</v>
      </c>
      <c r="N64" s="148">
        <f t="shared" si="20"/>
        <v>46136</v>
      </c>
      <c r="O64" s="157"/>
      <c r="P64" s="208"/>
      <c r="Q64" s="18" t="s">
        <v>76</v>
      </c>
      <c r="R64" s="18">
        <f t="shared" si="16"/>
        <v>517020.89400000003</v>
      </c>
      <c r="S64" s="3">
        <v>7.6999999999999999E-2</v>
      </c>
      <c r="T64" s="145">
        <f t="shared" si="17"/>
        <v>60</v>
      </c>
      <c r="U64" s="4">
        <f t="shared" si="18"/>
        <v>6544</v>
      </c>
      <c r="V64" s="4">
        <f t="shared" si="19"/>
        <v>510476.89400000003</v>
      </c>
      <c r="W64" s="17"/>
      <c r="X64" s="6"/>
      <c r="Y64" s="94"/>
      <c r="Z64" s="94"/>
      <c r="AA64" s="20"/>
      <c r="AB64" s="19"/>
      <c r="AC64" s="165" cm="1">
        <f t="array" ref="AC64">_xlfn.IFS(D64="INDUSTOWER","275000000",D64="RELIANCEIN","220000000",D64="SIEMENSLTD","83330000")-I64</f>
        <v>274425532.33999997</v>
      </c>
    </row>
    <row r="65" spans="1:29" x14ac:dyDescent="0.25">
      <c r="A65" s="1">
        <v>8</v>
      </c>
      <c r="B65" s="1">
        <f>SUBTOTAL(3,C$3:C65)</f>
        <v>63</v>
      </c>
      <c r="C65" s="6" t="s">
        <v>93</v>
      </c>
      <c r="D65" s="30" t="s">
        <v>27</v>
      </c>
      <c r="E65" s="30" t="s">
        <v>7</v>
      </c>
      <c r="F65" s="54" t="s">
        <v>420</v>
      </c>
      <c r="G65" s="146">
        <v>46136</v>
      </c>
      <c r="H65" s="2" t="s">
        <v>6</v>
      </c>
      <c r="I65" s="89">
        <v>574467.66</v>
      </c>
      <c r="J65" s="149" cm="1">
        <f t="array" ref="J65">_xlfn.IFS(D65="INDUSTOWER","40",D65="RELIANCEIN","44",D65="SIEMENSLTD","120",D65="CLEANMAX","40",D65="AVAADA","40",D65="ARCHTECH","40")+G65</f>
        <v>46176</v>
      </c>
      <c r="K65" s="150">
        <v>46136</v>
      </c>
      <c r="L65" s="149">
        <f t="shared" si="15"/>
        <v>46196</v>
      </c>
      <c r="M65" s="6" t="s">
        <v>426</v>
      </c>
      <c r="N65" s="148">
        <f t="shared" si="20"/>
        <v>46136</v>
      </c>
      <c r="O65" s="157"/>
      <c r="P65" s="208"/>
      <c r="Q65" s="18" t="s">
        <v>76</v>
      </c>
      <c r="R65" s="18">
        <f t="shared" si="16"/>
        <v>517020.89400000003</v>
      </c>
      <c r="S65" s="3">
        <v>7.6999999999999999E-2</v>
      </c>
      <c r="T65" s="145">
        <f t="shared" si="17"/>
        <v>60</v>
      </c>
      <c r="U65" s="4">
        <f t="shared" si="18"/>
        <v>6544</v>
      </c>
      <c r="V65" s="4">
        <f t="shared" si="19"/>
        <v>510476.89400000003</v>
      </c>
      <c r="W65" s="17"/>
      <c r="X65" s="6"/>
      <c r="Y65" s="94"/>
      <c r="Z65" s="94"/>
      <c r="AA65" s="20"/>
      <c r="AB65" s="19"/>
      <c r="AC65" s="165" cm="1">
        <f t="array" ref="AC65">_xlfn.IFS(D65="INDUSTOWER","275000000",D65="RELIANCEIN","220000000",D65="SIEMENSLTD","83330000")-I65</f>
        <v>274425532.33999997</v>
      </c>
    </row>
    <row r="66" spans="1:29" x14ac:dyDescent="0.25">
      <c r="A66" s="1">
        <v>8</v>
      </c>
      <c r="B66" s="1">
        <f>SUBTOTAL(3,C$3:C66)</f>
        <v>64</v>
      </c>
      <c r="C66" s="6" t="s">
        <v>93</v>
      </c>
      <c r="D66" s="30" t="s">
        <v>27</v>
      </c>
      <c r="E66" s="30" t="s">
        <v>7</v>
      </c>
      <c r="F66" s="54" t="s">
        <v>421</v>
      </c>
      <c r="G66" s="146">
        <v>46136</v>
      </c>
      <c r="H66" s="2" t="s">
        <v>6</v>
      </c>
      <c r="I66" s="89">
        <v>574467.66</v>
      </c>
      <c r="J66" s="149" cm="1">
        <f t="array" ref="J66">_xlfn.IFS(D66="INDUSTOWER","40",D66="RELIANCEIN","44",D66="SIEMENSLTD","120",D66="CLEANMAX","40",D66="AVAADA","40",D66="ARCHTECH","40")+G66</f>
        <v>46176</v>
      </c>
      <c r="K66" s="150">
        <v>46136</v>
      </c>
      <c r="L66" s="149">
        <f t="shared" si="15"/>
        <v>46196</v>
      </c>
      <c r="M66" s="6" t="s">
        <v>427</v>
      </c>
      <c r="N66" s="148">
        <f t="shared" si="20"/>
        <v>46136</v>
      </c>
      <c r="O66" s="157"/>
      <c r="P66" s="208"/>
      <c r="Q66" s="18" t="s">
        <v>76</v>
      </c>
      <c r="R66" s="18">
        <f t="shared" si="16"/>
        <v>517020.89400000003</v>
      </c>
      <c r="S66" s="3">
        <v>7.6999999999999999E-2</v>
      </c>
      <c r="T66" s="145">
        <f t="shared" si="17"/>
        <v>60</v>
      </c>
      <c r="U66" s="4">
        <f t="shared" si="18"/>
        <v>6544</v>
      </c>
      <c r="V66" s="4">
        <f t="shared" si="19"/>
        <v>510476.89400000003</v>
      </c>
      <c r="W66" s="17"/>
      <c r="X66" s="6"/>
      <c r="Y66" s="94"/>
      <c r="Z66" s="94"/>
      <c r="AA66" s="20"/>
      <c r="AB66" s="19"/>
      <c r="AC66" s="165" cm="1">
        <f t="array" ref="AC66">_xlfn.IFS(D66="INDUSTOWER","275000000",D66="RELIANCEIN","220000000",D66="SIEMENSLTD","83330000")-I66</f>
        <v>274425532.33999997</v>
      </c>
    </row>
    <row r="67" spans="1:29" x14ac:dyDescent="0.25">
      <c r="A67" s="1">
        <v>8</v>
      </c>
      <c r="B67" s="1">
        <f>SUBTOTAL(3,C$3:C67)</f>
        <v>65</v>
      </c>
      <c r="C67" s="6" t="s">
        <v>93</v>
      </c>
      <c r="D67" s="30" t="s">
        <v>27</v>
      </c>
      <c r="E67" s="30" t="s">
        <v>7</v>
      </c>
      <c r="F67" s="54" t="s">
        <v>422</v>
      </c>
      <c r="G67" s="146">
        <v>46136</v>
      </c>
      <c r="H67" s="2" t="s">
        <v>6</v>
      </c>
      <c r="I67" s="89">
        <v>574467.66</v>
      </c>
      <c r="J67" s="149" cm="1">
        <f t="array" ref="J67">_xlfn.IFS(D67="INDUSTOWER","40",D67="RELIANCEIN","44",D67="SIEMENSLTD","120",D67="CLEANMAX","40",D67="AVAADA","40",D67="ARCHTECH","40")+G67</f>
        <v>46176</v>
      </c>
      <c r="K67" s="150">
        <v>46136</v>
      </c>
      <c r="L67" s="149">
        <f t="shared" si="15"/>
        <v>46196</v>
      </c>
      <c r="M67" s="6" t="s">
        <v>84</v>
      </c>
      <c r="N67" s="148">
        <f t="shared" si="20"/>
        <v>46136</v>
      </c>
      <c r="O67" s="157"/>
      <c r="P67" s="208"/>
      <c r="Q67" s="18" t="s">
        <v>76</v>
      </c>
      <c r="R67" s="18">
        <f t="shared" si="16"/>
        <v>517020.89400000003</v>
      </c>
      <c r="S67" s="3">
        <v>7.6999999999999999E-2</v>
      </c>
      <c r="T67" s="145">
        <f t="shared" si="17"/>
        <v>60</v>
      </c>
      <c r="U67" s="4">
        <f t="shared" si="18"/>
        <v>6544</v>
      </c>
      <c r="V67" s="4">
        <f t="shared" si="19"/>
        <v>510476.89400000003</v>
      </c>
      <c r="W67" s="17"/>
      <c r="X67" s="6"/>
      <c r="Y67" s="94"/>
      <c r="Z67" s="94"/>
      <c r="AA67" s="20"/>
      <c r="AB67" s="19"/>
      <c r="AC67" s="165" cm="1">
        <f t="array" ref="AC67">_xlfn.IFS(D67="INDUSTOWER","275000000",D67="RELIANCEIN","220000000",D67="SIEMENSLTD","83330000")-I67</f>
        <v>274425532.33999997</v>
      </c>
    </row>
    <row r="68" spans="1:29" x14ac:dyDescent="0.25">
      <c r="A68" s="1">
        <v>8</v>
      </c>
      <c r="B68" s="1">
        <f>SUBTOTAL(3,C$3:C68)</f>
        <v>66</v>
      </c>
      <c r="C68" s="6" t="s">
        <v>93</v>
      </c>
      <c r="D68" s="30" t="s">
        <v>27</v>
      </c>
      <c r="E68" s="30" t="s">
        <v>7</v>
      </c>
      <c r="F68" s="54" t="s">
        <v>423</v>
      </c>
      <c r="G68" s="146">
        <v>46136</v>
      </c>
      <c r="H68" s="2" t="s">
        <v>6</v>
      </c>
      <c r="I68" s="89">
        <v>574467.66</v>
      </c>
      <c r="J68" s="149" cm="1">
        <f t="array" ref="J68">_xlfn.IFS(D68="INDUSTOWER","40",D68="RELIANCEIN","44",D68="SIEMENSLTD","120",D68="CLEANMAX","40",D68="AVAADA","40",D68="ARCHTECH","40")+G68</f>
        <v>46176</v>
      </c>
      <c r="K68" s="150">
        <v>46136</v>
      </c>
      <c r="L68" s="149">
        <f t="shared" si="15"/>
        <v>46196</v>
      </c>
      <c r="M68" s="6" t="s">
        <v>85</v>
      </c>
      <c r="N68" s="148">
        <f t="shared" si="20"/>
        <v>46136</v>
      </c>
      <c r="O68" s="157"/>
      <c r="P68" s="208"/>
      <c r="Q68" s="18" t="s">
        <v>76</v>
      </c>
      <c r="R68" s="18">
        <f t="shared" si="16"/>
        <v>517020.89400000003</v>
      </c>
      <c r="S68" s="3">
        <v>7.6999999999999999E-2</v>
      </c>
      <c r="T68" s="145">
        <f t="shared" si="17"/>
        <v>60</v>
      </c>
      <c r="U68" s="4">
        <f t="shared" si="18"/>
        <v>6544</v>
      </c>
      <c r="V68" s="4">
        <f t="shared" si="19"/>
        <v>510476.89400000003</v>
      </c>
      <c r="W68" s="17"/>
      <c r="X68" s="6"/>
      <c r="Y68" s="94"/>
      <c r="Z68" s="94"/>
      <c r="AA68" s="20"/>
      <c r="AB68" s="19"/>
      <c r="AC68" s="165" cm="1">
        <f t="array" ref="AC68">_xlfn.IFS(D68="INDUSTOWER","275000000",D68="RELIANCEIN","220000000",D68="SIEMENSLTD","83330000")-I68</f>
        <v>274425532.33999997</v>
      </c>
    </row>
    <row r="69" spans="1:29" x14ac:dyDescent="0.25">
      <c r="A69" s="1">
        <v>8</v>
      </c>
      <c r="B69" s="1">
        <f>SUBTOTAL(3,C$3:C69)</f>
        <v>67</v>
      </c>
      <c r="C69" s="6" t="s">
        <v>93</v>
      </c>
      <c r="D69" s="30" t="s">
        <v>27</v>
      </c>
      <c r="E69" s="30" t="s">
        <v>7</v>
      </c>
      <c r="F69" s="54" t="s">
        <v>424</v>
      </c>
      <c r="G69" s="146">
        <v>46136</v>
      </c>
      <c r="H69" s="2" t="s">
        <v>6</v>
      </c>
      <c r="I69" s="89">
        <v>481668.92</v>
      </c>
      <c r="J69" s="149" cm="1">
        <f t="array" ref="J69">_xlfn.IFS(D69="INDUSTOWER","40",D69="RELIANCEIN","44",D69="SIEMENSLTD","120",D69="CLEANMAX","40",D69="AVAADA","40",D69="ARCHTECH","40")+G69</f>
        <v>46176</v>
      </c>
      <c r="K69" s="150">
        <v>46136</v>
      </c>
      <c r="L69" s="149">
        <f t="shared" si="15"/>
        <v>46196</v>
      </c>
      <c r="M69" s="6" t="s">
        <v>428</v>
      </c>
      <c r="N69" s="148">
        <f t="shared" si="20"/>
        <v>46136</v>
      </c>
      <c r="O69" s="157"/>
      <c r="P69" s="208"/>
      <c r="Q69" s="18" t="s">
        <v>36</v>
      </c>
      <c r="R69" s="18">
        <f t="shared" si="16"/>
        <v>433502.02799999999</v>
      </c>
      <c r="S69" s="3">
        <v>7.6999999999999999E-2</v>
      </c>
      <c r="T69" s="145">
        <f t="shared" si="17"/>
        <v>60</v>
      </c>
      <c r="U69" s="4">
        <f t="shared" si="18"/>
        <v>5487</v>
      </c>
      <c r="V69" s="4">
        <f t="shared" si="19"/>
        <v>428015.02799999999</v>
      </c>
      <c r="W69" s="17"/>
      <c r="X69" s="6"/>
      <c r="Y69" s="94"/>
      <c r="Z69" s="94"/>
      <c r="AA69" s="20"/>
      <c r="AB69" s="19"/>
      <c r="AC69" s="165" cm="1">
        <f t="array" ref="AC69">_xlfn.IFS(D69="INDUSTOWER","275000000",D69="RELIANCEIN","220000000",D69="SIEMENSLTD","83330000")-I69</f>
        <v>274518331.07999998</v>
      </c>
    </row>
    <row r="70" spans="1:29" x14ac:dyDescent="0.25">
      <c r="A70" s="1">
        <v>9</v>
      </c>
      <c r="B70" s="1">
        <f>SUBTOTAL(3,C$3:C70)</f>
        <v>68</v>
      </c>
      <c r="C70" s="6" t="s">
        <v>93</v>
      </c>
      <c r="D70" s="30" t="s">
        <v>27</v>
      </c>
      <c r="E70" s="30" t="s">
        <v>7</v>
      </c>
      <c r="F70" s="54" t="s">
        <v>433</v>
      </c>
      <c r="G70" s="146">
        <v>46138</v>
      </c>
      <c r="H70" s="2" t="s">
        <v>6</v>
      </c>
      <c r="I70" s="89">
        <v>574467.66</v>
      </c>
      <c r="J70" s="149" cm="1">
        <f t="array" ref="J70">_xlfn.IFS(D70="INDUSTOWER","40",D70="RELIANCEIN","44",D70="SIEMENSLTD","120",D70="CLEANMAX","40",D70="AVAADA","40",D70="ARCHTECH","40")+G70</f>
        <v>46178</v>
      </c>
      <c r="K70" s="150">
        <v>46139</v>
      </c>
      <c r="L70" s="149">
        <f>+J70+20</f>
        <v>46198</v>
      </c>
      <c r="M70" s="6" t="s">
        <v>437</v>
      </c>
      <c r="N70" s="148">
        <f>+G70</f>
        <v>46138</v>
      </c>
      <c r="O70" s="157"/>
      <c r="P70" s="208"/>
      <c r="Q70" s="18" t="s">
        <v>76</v>
      </c>
      <c r="R70" s="18">
        <f>+I70*0.9</f>
        <v>517020.89400000003</v>
      </c>
      <c r="S70" s="3">
        <v>7.6999999999999999E-2</v>
      </c>
      <c r="T70" s="145">
        <f>+J70-K70+20</f>
        <v>59</v>
      </c>
      <c r="U70" s="4">
        <f>ROUND(+R70*S70*T70/365,0)</f>
        <v>6435</v>
      </c>
      <c r="V70" s="4">
        <f>+R70-U70</f>
        <v>510585.89400000003</v>
      </c>
      <c r="W70" s="17"/>
      <c r="X70" s="6"/>
      <c r="Y70" s="94"/>
      <c r="Z70" s="94"/>
      <c r="AA70" s="20"/>
      <c r="AB70" s="19"/>
      <c r="AC70" s="165" cm="1">
        <f t="array" ref="AC70">_xlfn.IFS(D70="INDUSTOWER","275000000",D70="RELIANCEIN","220000000",D70="SIEMENSLTD","83330000")-I70</f>
        <v>274425532.33999997</v>
      </c>
    </row>
    <row r="71" spans="1:29" x14ac:dyDescent="0.25">
      <c r="A71" s="1">
        <v>9</v>
      </c>
      <c r="B71" s="1">
        <f>SUBTOTAL(3,C$3:C71)</f>
        <v>69</v>
      </c>
      <c r="C71" s="6" t="s">
        <v>93</v>
      </c>
      <c r="D71" s="30" t="s">
        <v>27</v>
      </c>
      <c r="E71" s="30" t="s">
        <v>7</v>
      </c>
      <c r="F71" s="54" t="s">
        <v>434</v>
      </c>
      <c r="G71" s="146">
        <v>46138</v>
      </c>
      <c r="H71" s="2" t="s">
        <v>6</v>
      </c>
      <c r="I71" s="89">
        <v>574467.66</v>
      </c>
      <c r="J71" s="149" cm="1">
        <f t="array" ref="J71">_xlfn.IFS(D71="INDUSTOWER","40",D71="RELIANCEIN","44",D71="SIEMENSLTD","120",D71="CLEANMAX","40",D71="AVAADA","40",D71="ARCHTECH","40")+G71</f>
        <v>46178</v>
      </c>
      <c r="K71" s="150">
        <v>46139</v>
      </c>
      <c r="L71" s="149">
        <f>+J71+20</f>
        <v>46198</v>
      </c>
      <c r="M71" s="6" t="s">
        <v>87</v>
      </c>
      <c r="N71" s="148">
        <f>+G71</f>
        <v>46138</v>
      </c>
      <c r="O71" s="157"/>
      <c r="P71" s="208"/>
      <c r="Q71" s="18" t="s">
        <v>76</v>
      </c>
      <c r="R71" s="18">
        <f>+I71*0.9</f>
        <v>517020.89400000003</v>
      </c>
      <c r="S71" s="3">
        <v>7.6999999999999999E-2</v>
      </c>
      <c r="T71" s="145">
        <f>+J71-K71+20</f>
        <v>59</v>
      </c>
      <c r="U71" s="4">
        <f>ROUND(+R71*S71*T71/365,0)</f>
        <v>6435</v>
      </c>
      <c r="V71" s="4">
        <f>+R71-U71</f>
        <v>510585.89400000003</v>
      </c>
      <c r="W71" s="17"/>
      <c r="X71" s="6"/>
      <c r="Y71" s="94"/>
      <c r="Z71" s="94"/>
      <c r="AA71" s="20"/>
      <c r="AB71" s="19"/>
      <c r="AC71" s="165" cm="1">
        <f t="array" ref="AC71">_xlfn.IFS(D71="INDUSTOWER","275000000",D71="RELIANCEIN","220000000",D71="SIEMENSLTD","83330000")-I71</f>
        <v>274425532.33999997</v>
      </c>
    </row>
    <row r="72" spans="1:29" x14ac:dyDescent="0.25">
      <c r="A72" s="1">
        <v>9</v>
      </c>
      <c r="B72" s="1">
        <f>SUBTOTAL(3,C$3:C72)</f>
        <v>70</v>
      </c>
      <c r="C72" s="6" t="s">
        <v>93</v>
      </c>
      <c r="D72" s="30" t="s">
        <v>27</v>
      </c>
      <c r="E72" s="30" t="s">
        <v>7</v>
      </c>
      <c r="F72" s="54" t="s">
        <v>435</v>
      </c>
      <c r="G72" s="146">
        <v>46138</v>
      </c>
      <c r="H72" s="2" t="s">
        <v>6</v>
      </c>
      <c r="I72" s="89">
        <v>574467.66</v>
      </c>
      <c r="J72" s="149" cm="1">
        <f t="array" ref="J72">_xlfn.IFS(D72="INDUSTOWER","40",D72="RELIANCEIN","44",D72="SIEMENSLTD","120",D72="CLEANMAX","40",D72="AVAADA","40",D72="ARCHTECH","40")+G72</f>
        <v>46178</v>
      </c>
      <c r="K72" s="150">
        <v>46139</v>
      </c>
      <c r="L72" s="149">
        <f>+J72+20</f>
        <v>46198</v>
      </c>
      <c r="M72" s="6" t="s">
        <v>438</v>
      </c>
      <c r="N72" s="148">
        <f>+G72</f>
        <v>46138</v>
      </c>
      <c r="O72" s="157"/>
      <c r="P72" s="208"/>
      <c r="Q72" s="18" t="s">
        <v>76</v>
      </c>
      <c r="R72" s="18">
        <f>+I72*0.9</f>
        <v>517020.89400000003</v>
      </c>
      <c r="S72" s="3">
        <v>7.6999999999999999E-2</v>
      </c>
      <c r="T72" s="145">
        <f>+J72-K72+20</f>
        <v>59</v>
      </c>
      <c r="U72" s="4">
        <f>ROUND(+R72*S72*T72/365,0)</f>
        <v>6435</v>
      </c>
      <c r="V72" s="4">
        <f>+R72-U72</f>
        <v>510585.89400000003</v>
      </c>
      <c r="W72" s="17"/>
      <c r="X72" s="6"/>
      <c r="Y72" s="94"/>
      <c r="Z72" s="94"/>
      <c r="AA72" s="20"/>
      <c r="AB72" s="19"/>
      <c r="AC72" s="165" cm="1">
        <f t="array" ref="AC72">_xlfn.IFS(D72="INDUSTOWER","275000000",D72="RELIANCEIN","220000000",D72="SIEMENSLTD","83330000")-I72</f>
        <v>274425532.33999997</v>
      </c>
    </row>
    <row r="73" spans="1:29" x14ac:dyDescent="0.25">
      <c r="A73" s="1">
        <v>9</v>
      </c>
      <c r="B73" s="1">
        <f>SUBTOTAL(3,C$3:C73)</f>
        <v>71</v>
      </c>
      <c r="C73" s="6" t="s">
        <v>93</v>
      </c>
      <c r="D73" s="30" t="s">
        <v>27</v>
      </c>
      <c r="E73" s="30" t="s">
        <v>7</v>
      </c>
      <c r="F73" s="54" t="s">
        <v>436</v>
      </c>
      <c r="G73" s="146">
        <v>46138</v>
      </c>
      <c r="H73" s="2" t="s">
        <v>6</v>
      </c>
      <c r="I73" s="89">
        <v>574467.66</v>
      </c>
      <c r="J73" s="149" cm="1">
        <f t="array" ref="J73">_xlfn.IFS(D73="INDUSTOWER","40",D73="RELIANCEIN","44",D73="SIEMENSLTD","120",D73="CLEANMAX","40",D73="AVAADA","40",D73="ARCHTECH","40")+G73</f>
        <v>46178</v>
      </c>
      <c r="K73" s="150">
        <v>46139</v>
      </c>
      <c r="L73" s="149">
        <f>+J73+20</f>
        <v>46198</v>
      </c>
      <c r="M73" s="6" t="s">
        <v>439</v>
      </c>
      <c r="N73" s="148">
        <f>+G73</f>
        <v>46138</v>
      </c>
      <c r="O73" s="157"/>
      <c r="P73" s="208"/>
      <c r="Q73" s="18" t="s">
        <v>76</v>
      </c>
      <c r="R73" s="18">
        <f>+I73*0.9</f>
        <v>517020.89400000003</v>
      </c>
      <c r="S73" s="3">
        <v>7.6999999999999999E-2</v>
      </c>
      <c r="T73" s="145">
        <f>+J73-K73+20</f>
        <v>59</v>
      </c>
      <c r="U73" s="4">
        <f>ROUND(+R73*S73*T73/365,0)</f>
        <v>6435</v>
      </c>
      <c r="V73" s="4">
        <f>+R73-U73</f>
        <v>510585.89400000003</v>
      </c>
      <c r="W73" s="17"/>
      <c r="X73" s="6"/>
      <c r="Y73" s="94"/>
      <c r="Z73" s="94"/>
      <c r="AA73" s="20"/>
      <c r="AB73" s="19"/>
      <c r="AC73" s="165" cm="1">
        <f t="array" ref="AC73">_xlfn.IFS(D73="INDUSTOWER","275000000",D73="RELIANCEIN","220000000",D73="SIEMENSLTD","83330000")-I73</f>
        <v>274425532.33999997</v>
      </c>
    </row>
    <row r="74" spans="1:29" x14ac:dyDescent="0.25">
      <c r="A74" s="1">
        <v>0</v>
      </c>
      <c r="B74" s="1">
        <f>SUBTOTAL(3,C$3:C74)</f>
        <v>72</v>
      </c>
      <c r="C74" s="6" t="s">
        <v>93</v>
      </c>
      <c r="D74" s="30" t="s">
        <v>24</v>
      </c>
      <c r="E74" s="30" t="s">
        <v>7</v>
      </c>
      <c r="F74" s="54" t="s">
        <v>137</v>
      </c>
      <c r="G74" s="146">
        <v>46093</v>
      </c>
      <c r="H74" s="2" t="s">
        <v>6</v>
      </c>
      <c r="I74" s="89">
        <v>764307.41</v>
      </c>
      <c r="J74" s="149" cm="1">
        <f t="array" ref="J74">_xlfn.IFS(D74="INDUSTOWER","40",D74="RELIANCEIN","44",D74="SIEMENSLTD","120",D74="CLEANMAX","40",D74="AVAADA","40",D74="ARCHTECH","40")+G74</f>
        <v>46137</v>
      </c>
      <c r="K74" s="150">
        <v>46135</v>
      </c>
      <c r="L74" s="149">
        <f t="shared" si="15"/>
        <v>46157</v>
      </c>
      <c r="M74" s="6"/>
      <c r="N74" s="148">
        <f t="shared" si="6"/>
        <v>46093</v>
      </c>
      <c r="O74" s="157"/>
      <c r="P74" s="208"/>
      <c r="Q74" s="18"/>
      <c r="R74" s="18">
        <f t="shared" si="16"/>
        <v>687876.66899999999</v>
      </c>
      <c r="S74" s="3">
        <v>7.6999999999999999E-2</v>
      </c>
      <c r="T74" s="145">
        <f t="shared" si="17"/>
        <v>22</v>
      </c>
      <c r="U74" s="4">
        <f t="shared" si="18"/>
        <v>3193</v>
      </c>
      <c r="V74" s="4">
        <f t="shared" si="19"/>
        <v>684683.66899999999</v>
      </c>
      <c r="W74" s="17"/>
      <c r="X74" s="6"/>
      <c r="Y74" s="94"/>
      <c r="Z74" s="94"/>
      <c r="AA74" s="20"/>
      <c r="AB74" s="19"/>
      <c r="AC74" s="165" cm="1">
        <f t="array" ref="AC74">_xlfn.IFS(D74="INDUSTOWER","275000000",D74="RELIANCEIN","220000000",D74="SIEMENSLTD","83330000")-I74</f>
        <v>219235692.59</v>
      </c>
    </row>
    <row r="75" spans="1:29" x14ac:dyDescent="0.25">
      <c r="A75" s="1">
        <v>1</v>
      </c>
      <c r="B75" s="1">
        <f>SUBTOTAL(3,C$3:C75)</f>
        <v>73</v>
      </c>
      <c r="C75" s="6" t="s">
        <v>93</v>
      </c>
      <c r="D75" s="30" t="s">
        <v>24</v>
      </c>
      <c r="E75" s="30" t="s">
        <v>7</v>
      </c>
      <c r="F75" s="54" t="s">
        <v>181</v>
      </c>
      <c r="G75" s="146">
        <v>46128</v>
      </c>
      <c r="H75" s="2" t="s">
        <v>6</v>
      </c>
      <c r="I75" s="89">
        <v>822460</v>
      </c>
      <c r="J75" s="149" cm="1">
        <f t="array" ref="J75">_xlfn.IFS(D75="INDUSTOWER","40",D75="RELIANCEIN","44",D75="SIEMENSLTD","120",D75="CLEANMAX","40",D75="AVAADA","40",D75="ARCHTECH","40")+G75</f>
        <v>46172</v>
      </c>
      <c r="K75" s="150">
        <v>46132</v>
      </c>
      <c r="L75" s="149">
        <f t="shared" si="0"/>
        <v>46192</v>
      </c>
      <c r="M75" s="6">
        <v>2000146043</v>
      </c>
      <c r="N75" s="148">
        <f t="shared" si="6"/>
        <v>46128</v>
      </c>
      <c r="O75" s="157"/>
      <c r="P75" s="208"/>
      <c r="Q75" s="18" t="s">
        <v>196</v>
      </c>
      <c r="R75" s="18">
        <f t="shared" si="2"/>
        <v>740214</v>
      </c>
      <c r="S75" s="3">
        <v>7.6999999999999999E-2</v>
      </c>
      <c r="T75" s="145">
        <f t="shared" si="3"/>
        <v>60</v>
      </c>
      <c r="U75" s="4">
        <f t="shared" si="4"/>
        <v>9369</v>
      </c>
      <c r="V75" s="4">
        <f t="shared" si="5"/>
        <v>730845</v>
      </c>
      <c r="W75" s="17"/>
      <c r="X75" s="6"/>
      <c r="Y75" s="94"/>
      <c r="Z75" s="94"/>
      <c r="AA75" s="20"/>
      <c r="AB75" s="19"/>
      <c r="AC75" s="165" cm="1">
        <f t="array" ref="AC75">_xlfn.IFS(D75="INDUSTOWER","275000000",D75="RELIANCEIN","220000000",D75="SIEMENSLTD","83330000")-I75</f>
        <v>219177540</v>
      </c>
    </row>
    <row r="76" spans="1:29" x14ac:dyDescent="0.25">
      <c r="A76" s="1">
        <v>1</v>
      </c>
      <c r="B76" s="1">
        <f>SUBTOTAL(3,C$3:C76)</f>
        <v>74</v>
      </c>
      <c r="C76" s="6" t="s">
        <v>93</v>
      </c>
      <c r="D76" s="30" t="s">
        <v>24</v>
      </c>
      <c r="E76" s="30" t="s">
        <v>7</v>
      </c>
      <c r="F76" s="54" t="s">
        <v>182</v>
      </c>
      <c r="G76" s="146">
        <v>46131</v>
      </c>
      <c r="H76" s="2" t="s">
        <v>6</v>
      </c>
      <c r="I76" s="89">
        <v>822460</v>
      </c>
      <c r="J76" s="149" cm="1">
        <f t="array" ref="J76">_xlfn.IFS(D76="INDUSTOWER","40",D76="RELIANCEIN","44",D76="SIEMENSLTD","120",D76="CLEANMAX","40",D76="AVAADA","40",D76="ARCHTECH","40")+G76</f>
        <v>46175</v>
      </c>
      <c r="K76" s="150">
        <v>46132</v>
      </c>
      <c r="L76" s="149">
        <f t="shared" si="0"/>
        <v>46195</v>
      </c>
      <c r="M76" s="6">
        <v>2000146110</v>
      </c>
      <c r="N76" s="148">
        <f t="shared" si="6"/>
        <v>46131</v>
      </c>
      <c r="O76" s="157"/>
      <c r="P76" s="208"/>
      <c r="Q76" s="18" t="s">
        <v>196</v>
      </c>
      <c r="R76" s="18">
        <f t="shared" si="2"/>
        <v>740214</v>
      </c>
      <c r="S76" s="3">
        <v>7.6999999999999999E-2</v>
      </c>
      <c r="T76" s="145">
        <f t="shared" si="3"/>
        <v>63</v>
      </c>
      <c r="U76" s="4">
        <f t="shared" si="4"/>
        <v>9838</v>
      </c>
      <c r="V76" s="4">
        <f t="shared" si="5"/>
        <v>730376</v>
      </c>
      <c r="W76" s="17"/>
      <c r="X76" s="6"/>
      <c r="Y76" s="94"/>
      <c r="Z76" s="94"/>
      <c r="AA76" s="20"/>
      <c r="AB76" s="19"/>
      <c r="AC76" s="165" cm="1">
        <f t="array" ref="AC76">_xlfn.IFS(D76="INDUSTOWER","275000000",D76="RELIANCEIN","220000000",D76="SIEMENSLTD","83330000")-I76</f>
        <v>219177540</v>
      </c>
    </row>
    <row r="77" spans="1:29" x14ac:dyDescent="0.25">
      <c r="A77" s="1">
        <v>2</v>
      </c>
      <c r="B77" s="1">
        <f>SUBTOTAL(3,C$3:C77)</f>
        <v>75</v>
      </c>
      <c r="C77" s="6" t="s">
        <v>93</v>
      </c>
      <c r="D77" s="30" t="s">
        <v>24</v>
      </c>
      <c r="E77" s="30" t="s">
        <v>7</v>
      </c>
      <c r="F77" s="54" t="s">
        <v>197</v>
      </c>
      <c r="G77" s="146">
        <v>46132</v>
      </c>
      <c r="H77" s="2" t="s">
        <v>6</v>
      </c>
      <c r="I77" s="89">
        <v>766484.34</v>
      </c>
      <c r="J77" s="149" cm="1">
        <f t="array" ref="J77">_xlfn.IFS(D77="INDUSTOWER","40",D77="RELIANCEIN","44",D77="SIEMENSLTD","120",D77="CLEANMAX","40",D77="AVAADA","40",D77="ARCHTECH","40")+G77</f>
        <v>46176</v>
      </c>
      <c r="K77" s="150">
        <v>46135</v>
      </c>
      <c r="L77" s="149">
        <f t="shared" si="0"/>
        <v>46196</v>
      </c>
      <c r="M77" s="6">
        <v>2000146126</v>
      </c>
      <c r="N77" s="148">
        <f t="shared" si="6"/>
        <v>46132</v>
      </c>
      <c r="O77" s="157"/>
      <c r="P77" s="208"/>
      <c r="Q77" s="18" t="s">
        <v>198</v>
      </c>
      <c r="R77" s="18">
        <f t="shared" si="2"/>
        <v>689835.90599999996</v>
      </c>
      <c r="S77" s="3">
        <v>7.6999999999999999E-2</v>
      </c>
      <c r="T77" s="145">
        <f t="shared" si="3"/>
        <v>61</v>
      </c>
      <c r="U77" s="4">
        <f t="shared" si="4"/>
        <v>8877</v>
      </c>
      <c r="V77" s="4">
        <f t="shared" si="5"/>
        <v>680958.90599999996</v>
      </c>
      <c r="W77" s="17"/>
      <c r="X77" s="6"/>
      <c r="Y77" s="94"/>
      <c r="Z77" s="94"/>
      <c r="AA77" s="20"/>
      <c r="AB77" s="19"/>
      <c r="AC77" s="165" cm="1">
        <f t="array" ref="AC77">_xlfn.IFS(D77="INDUSTOWER","275000000",D77="RELIANCEIN","220000000",D77="SIEMENSLTD","83330000")-I77</f>
        <v>219233515.66</v>
      </c>
    </row>
    <row r="78" spans="1:29" x14ac:dyDescent="0.25">
      <c r="A78" s="1">
        <v>2</v>
      </c>
      <c r="B78" s="1">
        <f>SUBTOTAL(3,C$3:C78)</f>
        <v>76</v>
      </c>
      <c r="C78" s="6" t="s">
        <v>93</v>
      </c>
      <c r="D78" s="30" t="s">
        <v>24</v>
      </c>
      <c r="E78" s="30" t="s">
        <v>7</v>
      </c>
      <c r="F78" s="54" t="s">
        <v>199</v>
      </c>
      <c r="G78" s="146">
        <v>46132</v>
      </c>
      <c r="H78" s="2" t="s">
        <v>6</v>
      </c>
      <c r="I78" s="89">
        <v>766484.34</v>
      </c>
      <c r="J78" s="149" cm="1">
        <f t="array" ref="J78">_xlfn.IFS(D78="INDUSTOWER","40",D78="RELIANCEIN","44",D78="SIEMENSLTD","120",D78="CLEANMAX","40",D78="AVAADA","40",D78="ARCHTECH","40")+G78</f>
        <v>46176</v>
      </c>
      <c r="K78" s="150">
        <v>46135</v>
      </c>
      <c r="L78" s="149">
        <f t="shared" si="0"/>
        <v>46196</v>
      </c>
      <c r="M78" s="6">
        <v>2000146129</v>
      </c>
      <c r="N78" s="148">
        <f t="shared" si="6"/>
        <v>46132</v>
      </c>
      <c r="O78" s="157"/>
      <c r="P78" s="208"/>
      <c r="Q78" s="18" t="s">
        <v>198</v>
      </c>
      <c r="R78" s="18">
        <f t="shared" si="2"/>
        <v>689835.90599999996</v>
      </c>
      <c r="S78" s="3">
        <v>7.6999999999999999E-2</v>
      </c>
      <c r="T78" s="145">
        <f t="shared" si="3"/>
        <v>61</v>
      </c>
      <c r="U78" s="4">
        <f t="shared" si="4"/>
        <v>8877</v>
      </c>
      <c r="V78" s="4">
        <f t="shared" si="5"/>
        <v>680958.90599999996</v>
      </c>
      <c r="W78" s="17"/>
      <c r="X78" s="6"/>
      <c r="Y78" s="94"/>
      <c r="Z78" s="94"/>
      <c r="AA78" s="20"/>
      <c r="AB78" s="19"/>
      <c r="AC78" s="165" cm="1">
        <f t="array" ref="AC78">_xlfn.IFS(D78="INDUSTOWER","275000000",D78="RELIANCEIN","220000000",D78="SIEMENSLTD","83330000")-I78</f>
        <v>219233515.66</v>
      </c>
    </row>
    <row r="79" spans="1:29" x14ac:dyDescent="0.25">
      <c r="A79" s="1">
        <v>2</v>
      </c>
      <c r="B79" s="1">
        <f>SUBTOTAL(3,C$3:C79)</f>
        <v>77</v>
      </c>
      <c r="C79" s="6" t="s">
        <v>93</v>
      </c>
      <c r="D79" s="30" t="s">
        <v>24</v>
      </c>
      <c r="E79" s="30" t="s">
        <v>7</v>
      </c>
      <c r="F79" s="54" t="s">
        <v>200</v>
      </c>
      <c r="G79" s="146">
        <v>46132</v>
      </c>
      <c r="H79" s="2" t="s">
        <v>6</v>
      </c>
      <c r="I79" s="89">
        <v>766484.34</v>
      </c>
      <c r="J79" s="149" cm="1">
        <f t="array" ref="J79">_xlfn.IFS(D79="INDUSTOWER","40",D79="RELIANCEIN","44",D79="SIEMENSLTD","120",D79="CLEANMAX","40",D79="AVAADA","40",D79="ARCHTECH","40")+G79</f>
        <v>46176</v>
      </c>
      <c r="K79" s="150">
        <v>46135</v>
      </c>
      <c r="L79" s="149">
        <f t="shared" si="0"/>
        <v>46196</v>
      </c>
      <c r="M79" s="6">
        <v>2000146130</v>
      </c>
      <c r="N79" s="148">
        <f t="shared" si="6"/>
        <v>46132</v>
      </c>
      <c r="O79" s="157"/>
      <c r="P79" s="208"/>
      <c r="Q79" s="18" t="s">
        <v>198</v>
      </c>
      <c r="R79" s="18">
        <f t="shared" si="2"/>
        <v>689835.90599999996</v>
      </c>
      <c r="S79" s="3">
        <v>7.6999999999999999E-2</v>
      </c>
      <c r="T79" s="145">
        <f t="shared" si="3"/>
        <v>61</v>
      </c>
      <c r="U79" s="4">
        <f t="shared" si="4"/>
        <v>8877</v>
      </c>
      <c r="V79" s="4">
        <f t="shared" si="5"/>
        <v>680958.90599999996</v>
      </c>
      <c r="W79" s="17"/>
      <c r="X79" s="6"/>
      <c r="Y79" s="94"/>
      <c r="Z79" s="94"/>
      <c r="AA79" s="20"/>
      <c r="AB79" s="19"/>
      <c r="AC79" s="165" cm="1">
        <f t="array" ref="AC79">_xlfn.IFS(D79="INDUSTOWER","275000000",D79="RELIANCEIN","220000000",D79="SIEMENSLTD","83330000")-I79</f>
        <v>219233515.66</v>
      </c>
    </row>
    <row r="80" spans="1:29" x14ac:dyDescent="0.25">
      <c r="A80" s="1">
        <v>2</v>
      </c>
      <c r="B80" s="1">
        <f>SUBTOTAL(3,C$3:C80)</f>
        <v>78</v>
      </c>
      <c r="C80" s="6" t="s">
        <v>93</v>
      </c>
      <c r="D80" s="30" t="s">
        <v>24</v>
      </c>
      <c r="E80" s="30" t="s">
        <v>7</v>
      </c>
      <c r="F80" s="54" t="s">
        <v>201</v>
      </c>
      <c r="G80" s="146">
        <v>46132</v>
      </c>
      <c r="H80" s="2" t="s">
        <v>6</v>
      </c>
      <c r="I80" s="89">
        <v>766484.34</v>
      </c>
      <c r="J80" s="149" cm="1">
        <f t="array" ref="J80">_xlfn.IFS(D80="INDUSTOWER","40",D80="RELIANCEIN","44",D80="SIEMENSLTD","120",D80="CLEANMAX","40",D80="AVAADA","40",D80="ARCHTECH","40")+G80</f>
        <v>46176</v>
      </c>
      <c r="K80" s="150">
        <v>46135</v>
      </c>
      <c r="L80" s="149">
        <f t="shared" si="0"/>
        <v>46196</v>
      </c>
      <c r="M80" s="6">
        <v>2000146128</v>
      </c>
      <c r="N80" s="148">
        <f t="shared" si="6"/>
        <v>46132</v>
      </c>
      <c r="O80" s="157"/>
      <c r="P80" s="208"/>
      <c r="Q80" s="18" t="s">
        <v>198</v>
      </c>
      <c r="R80" s="18">
        <f t="shared" si="2"/>
        <v>689835.90599999996</v>
      </c>
      <c r="S80" s="3">
        <v>7.6999999999999999E-2</v>
      </c>
      <c r="T80" s="145">
        <f t="shared" si="3"/>
        <v>61</v>
      </c>
      <c r="U80" s="4">
        <f t="shared" si="4"/>
        <v>8877</v>
      </c>
      <c r="V80" s="4">
        <f t="shared" si="5"/>
        <v>680958.90599999996</v>
      </c>
      <c r="W80" s="17"/>
      <c r="X80" s="6"/>
      <c r="Y80" s="94"/>
      <c r="Z80" s="94"/>
      <c r="AA80" s="20"/>
      <c r="AB80" s="19"/>
      <c r="AC80" s="165" cm="1">
        <f t="array" ref="AC80">_xlfn.IFS(D80="INDUSTOWER","275000000",D80="RELIANCEIN","220000000",D80="SIEMENSLTD","83330000")-I80</f>
        <v>219233515.66</v>
      </c>
    </row>
    <row r="81" spans="1:29" x14ac:dyDescent="0.25">
      <c r="A81" s="1">
        <v>2</v>
      </c>
      <c r="B81" s="1">
        <f>SUBTOTAL(3,C$3:C81)</f>
        <v>79</v>
      </c>
      <c r="C81" s="6" t="s">
        <v>93</v>
      </c>
      <c r="D81" s="30" t="s">
        <v>24</v>
      </c>
      <c r="E81" s="30" t="s">
        <v>7</v>
      </c>
      <c r="F81" s="54" t="s">
        <v>202</v>
      </c>
      <c r="G81" s="146">
        <v>46133</v>
      </c>
      <c r="H81" s="2" t="s">
        <v>6</v>
      </c>
      <c r="I81" s="89">
        <v>822460</v>
      </c>
      <c r="J81" s="149" cm="1">
        <f t="array" ref="J81">_xlfn.IFS(D81="INDUSTOWER","40",D81="RELIANCEIN","44",D81="SIEMENSLTD","120",D81="CLEANMAX","40",D81="AVAADA","40",D81="ARCHTECH","40")+G81</f>
        <v>46177</v>
      </c>
      <c r="K81" s="150">
        <v>46135</v>
      </c>
      <c r="L81" s="149">
        <f t="shared" si="0"/>
        <v>46197</v>
      </c>
      <c r="M81" s="6">
        <v>2000146147</v>
      </c>
      <c r="N81" s="148">
        <f t="shared" si="6"/>
        <v>46133</v>
      </c>
      <c r="O81" s="157"/>
      <c r="P81" s="208"/>
      <c r="Q81" s="18" t="s">
        <v>196</v>
      </c>
      <c r="R81" s="18">
        <f t="shared" si="2"/>
        <v>740214</v>
      </c>
      <c r="S81" s="3">
        <v>7.6999999999999999E-2</v>
      </c>
      <c r="T81" s="145">
        <f t="shared" si="3"/>
        <v>62</v>
      </c>
      <c r="U81" s="4">
        <f t="shared" si="4"/>
        <v>9682</v>
      </c>
      <c r="V81" s="4">
        <f t="shared" si="5"/>
        <v>730532</v>
      </c>
      <c r="W81" s="17"/>
      <c r="X81" s="6"/>
      <c r="Y81" s="94"/>
      <c r="Z81" s="94"/>
      <c r="AA81" s="20"/>
      <c r="AB81" s="19"/>
      <c r="AC81" s="165" cm="1">
        <f t="array" ref="AC81">_xlfn.IFS(D81="INDUSTOWER","275000000",D81="RELIANCEIN","220000000",D81="SIEMENSLTD","83330000")-I81</f>
        <v>219177540</v>
      </c>
    </row>
    <row r="82" spans="1:29" x14ac:dyDescent="0.25">
      <c r="A82" s="1">
        <v>2</v>
      </c>
      <c r="B82" s="1">
        <f>SUBTOTAL(3,C$3:C82)</f>
        <v>80</v>
      </c>
      <c r="C82" s="6" t="s">
        <v>93</v>
      </c>
      <c r="D82" s="30" t="s">
        <v>24</v>
      </c>
      <c r="E82" s="30" t="s">
        <v>7</v>
      </c>
      <c r="F82" s="54" t="s">
        <v>203</v>
      </c>
      <c r="G82" s="146">
        <v>46133</v>
      </c>
      <c r="H82" s="2" t="s">
        <v>6</v>
      </c>
      <c r="I82" s="89">
        <v>822460</v>
      </c>
      <c r="J82" s="149" cm="1">
        <f t="array" ref="J82">_xlfn.IFS(D82="INDUSTOWER","40",D82="RELIANCEIN","44",D82="SIEMENSLTD","120",D82="CLEANMAX","40",D82="AVAADA","40",D82="ARCHTECH","40")+G82</f>
        <v>46177</v>
      </c>
      <c r="K82" s="150">
        <v>46135</v>
      </c>
      <c r="L82" s="149">
        <f t="shared" si="0"/>
        <v>46197</v>
      </c>
      <c r="M82" s="6">
        <v>2000146148</v>
      </c>
      <c r="N82" s="148">
        <f t="shared" ref="N82:N115" si="21">+G82</f>
        <v>46133</v>
      </c>
      <c r="O82" s="157"/>
      <c r="P82" s="208"/>
      <c r="Q82" s="18" t="s">
        <v>196</v>
      </c>
      <c r="R82" s="18">
        <f t="shared" si="2"/>
        <v>740214</v>
      </c>
      <c r="S82" s="3">
        <v>7.6999999999999999E-2</v>
      </c>
      <c r="T82" s="145">
        <f t="shared" si="3"/>
        <v>62</v>
      </c>
      <c r="U82" s="4">
        <f t="shared" si="4"/>
        <v>9682</v>
      </c>
      <c r="V82" s="4">
        <f t="shared" si="5"/>
        <v>730532</v>
      </c>
      <c r="W82" s="17"/>
      <c r="X82" s="6"/>
      <c r="Y82" s="94"/>
      <c r="Z82" s="94"/>
      <c r="AA82" s="20"/>
      <c r="AB82" s="19"/>
      <c r="AC82" s="165" cm="1">
        <f t="array" ref="AC82">_xlfn.IFS(D82="INDUSTOWER","275000000",D82="RELIANCEIN","220000000",D82="SIEMENSLTD","83330000")-I82</f>
        <v>219177540</v>
      </c>
    </row>
    <row r="83" spans="1:29" x14ac:dyDescent="0.25">
      <c r="A83" s="1">
        <v>3</v>
      </c>
      <c r="B83" s="1">
        <f>SUBTOTAL(3,C$3:C83)</f>
        <v>81</v>
      </c>
      <c r="C83" s="6" t="s">
        <v>93</v>
      </c>
      <c r="D83" s="30" t="s">
        <v>24</v>
      </c>
      <c r="E83" s="30" t="s">
        <v>7</v>
      </c>
      <c r="F83" s="54" t="s">
        <v>204</v>
      </c>
      <c r="G83" s="146">
        <v>46134</v>
      </c>
      <c r="H83" s="2" t="s">
        <v>6</v>
      </c>
      <c r="I83" s="89">
        <v>1069198</v>
      </c>
      <c r="J83" s="149" cm="1">
        <f t="array" ref="J83">_xlfn.IFS(D83="INDUSTOWER","40",D83="RELIANCEIN","44",D83="SIEMENSLTD","120",D83="CLEANMAX","40",D83="AVAADA","40",D83="ARCHTECH","40")+G83</f>
        <v>46178</v>
      </c>
      <c r="K83" s="150">
        <v>46135</v>
      </c>
      <c r="L83" s="149">
        <f t="shared" si="0"/>
        <v>46198</v>
      </c>
      <c r="M83" s="6">
        <v>2000146151</v>
      </c>
      <c r="N83" s="148">
        <f t="shared" si="21"/>
        <v>46134</v>
      </c>
      <c r="O83" s="157"/>
      <c r="P83" s="208"/>
      <c r="Q83" s="18" t="s">
        <v>198</v>
      </c>
      <c r="R83" s="18">
        <f t="shared" si="2"/>
        <v>962278.20000000007</v>
      </c>
      <c r="S83" s="3">
        <v>7.6999999999999999E-2</v>
      </c>
      <c r="T83" s="145">
        <f t="shared" si="3"/>
        <v>63</v>
      </c>
      <c r="U83" s="4">
        <f t="shared" ref="U83:U110" si="22">ROUND(+R83*S83*T83/365,0)</f>
        <v>12789</v>
      </c>
      <c r="V83" s="4">
        <f t="shared" ref="V83:V110" si="23">+R83-U83</f>
        <v>949489.20000000007</v>
      </c>
      <c r="W83" s="17"/>
      <c r="X83" s="6"/>
      <c r="Y83" s="94"/>
      <c r="Z83" s="94"/>
      <c r="AA83" s="20"/>
      <c r="AB83" s="19"/>
      <c r="AC83" s="165" cm="1">
        <f t="array" ref="AC83">_xlfn.IFS(D83="INDUSTOWER","275000000",D83="RELIANCEIN","220000000",D83="SIEMENSLTD","83330000")-I83</f>
        <v>218930802</v>
      </c>
    </row>
    <row r="84" spans="1:29" x14ac:dyDescent="0.25">
      <c r="A84" s="1">
        <v>4</v>
      </c>
      <c r="B84" s="1">
        <f>SUBTOTAL(3,C$3:C84)</f>
        <v>82</v>
      </c>
      <c r="C84" s="6" t="s">
        <v>93</v>
      </c>
      <c r="D84" s="30" t="s">
        <v>24</v>
      </c>
      <c r="E84" s="30" t="s">
        <v>7</v>
      </c>
      <c r="F84" s="54" t="s">
        <v>350</v>
      </c>
      <c r="G84" s="146">
        <v>46135</v>
      </c>
      <c r="H84" s="2" t="s">
        <v>6</v>
      </c>
      <c r="I84" s="89">
        <v>916860</v>
      </c>
      <c r="J84" s="149" cm="1">
        <f t="array" ref="J84">_xlfn.IFS(D84="INDUSTOWER","40",D84="RELIANCEIN","44",D84="SIEMENSLTD","120",D84="CLEANMAX","40",D84="AVAADA","40",D84="ARCHTECH","40")+G84</f>
        <v>46179</v>
      </c>
      <c r="K84" s="150">
        <v>46135</v>
      </c>
      <c r="L84" s="149">
        <f t="shared" ref="L84:L90" si="24">+J84+20</f>
        <v>46199</v>
      </c>
      <c r="M84" s="6" t="s">
        <v>355</v>
      </c>
      <c r="N84" s="148">
        <f t="shared" ref="N84:N90" si="25">+G84</f>
        <v>46135</v>
      </c>
      <c r="O84" s="157"/>
      <c r="P84" s="208"/>
      <c r="Q84" s="18" t="s">
        <v>128</v>
      </c>
      <c r="R84" s="18">
        <f t="shared" ref="R84:R90" si="26">+I84*0.9</f>
        <v>825174</v>
      </c>
      <c r="S84" s="3">
        <v>7.6999999999999999E-2</v>
      </c>
      <c r="T84" s="145">
        <f t="shared" ref="T84:T90" si="27">+J84-K84+20</f>
        <v>64</v>
      </c>
      <c r="U84" s="4">
        <f t="shared" ref="U84:U90" si="28">ROUND(+R84*S84*T84/365,0)</f>
        <v>11141</v>
      </c>
      <c r="V84" s="4">
        <f t="shared" ref="V84:V90" si="29">+R84-U84</f>
        <v>814033</v>
      </c>
      <c r="W84" s="17"/>
      <c r="X84" s="6"/>
      <c r="Y84" s="94"/>
      <c r="Z84" s="94"/>
      <c r="AA84" s="20"/>
      <c r="AB84" s="19"/>
      <c r="AC84" s="165" cm="1">
        <f t="array" ref="AC84">_xlfn.IFS(D84="INDUSTOWER","275000000",D84="RELIANCEIN","220000000",D84="SIEMENSLTD","83330000")-I84</f>
        <v>219083140</v>
      </c>
    </row>
    <row r="85" spans="1:29" x14ac:dyDescent="0.25">
      <c r="A85" s="1">
        <v>4</v>
      </c>
      <c r="B85" s="1">
        <f>SUBTOTAL(3,C$3:C85)</f>
        <v>83</v>
      </c>
      <c r="C85" s="6" t="s">
        <v>93</v>
      </c>
      <c r="D85" s="30" t="s">
        <v>24</v>
      </c>
      <c r="E85" s="30" t="s">
        <v>7</v>
      </c>
      <c r="F85" s="54" t="s">
        <v>351</v>
      </c>
      <c r="G85" s="146">
        <v>46135</v>
      </c>
      <c r="H85" s="2" t="s">
        <v>6</v>
      </c>
      <c r="I85" s="89">
        <v>848001.1</v>
      </c>
      <c r="J85" s="149" cm="1">
        <f t="array" ref="J85">_xlfn.IFS(D85="INDUSTOWER","40",D85="RELIANCEIN","44",D85="SIEMENSLTD","120",D85="CLEANMAX","40",D85="AVAADA","40",D85="ARCHTECH","40")+G85</f>
        <v>46179</v>
      </c>
      <c r="K85" s="150">
        <v>46135</v>
      </c>
      <c r="L85" s="149">
        <f t="shared" si="24"/>
        <v>46199</v>
      </c>
      <c r="M85" s="6" t="s">
        <v>356</v>
      </c>
      <c r="N85" s="148">
        <f t="shared" si="25"/>
        <v>46135</v>
      </c>
      <c r="O85" s="157"/>
      <c r="P85" s="208"/>
      <c r="Q85" s="18" t="s">
        <v>360</v>
      </c>
      <c r="R85" s="18">
        <f t="shared" si="26"/>
        <v>763200.99</v>
      </c>
      <c r="S85" s="3">
        <v>7.6999999999999999E-2</v>
      </c>
      <c r="T85" s="145">
        <f t="shared" si="27"/>
        <v>64</v>
      </c>
      <c r="U85" s="4">
        <f t="shared" si="28"/>
        <v>10304</v>
      </c>
      <c r="V85" s="4">
        <f t="shared" si="29"/>
        <v>752896.99</v>
      </c>
      <c r="W85" s="17"/>
      <c r="X85" s="6"/>
      <c r="Y85" s="94"/>
      <c r="Z85" s="94"/>
      <c r="AA85" s="20"/>
      <c r="AB85" s="19"/>
      <c r="AC85" s="165" cm="1">
        <f t="array" ref="AC85">_xlfn.IFS(D85="INDUSTOWER","275000000",D85="RELIANCEIN","220000000",D85="SIEMENSLTD","83330000")-I85</f>
        <v>219151998.90000001</v>
      </c>
    </row>
    <row r="86" spans="1:29" x14ac:dyDescent="0.25">
      <c r="A86" s="1">
        <v>4</v>
      </c>
      <c r="B86" s="1">
        <f>SUBTOTAL(3,C$3:C86)</f>
        <v>84</v>
      </c>
      <c r="C86" s="6" t="s">
        <v>93</v>
      </c>
      <c r="D86" s="30" t="s">
        <v>24</v>
      </c>
      <c r="E86" s="30" t="s">
        <v>7</v>
      </c>
      <c r="F86" s="54" t="s">
        <v>352</v>
      </c>
      <c r="G86" s="146">
        <v>46135</v>
      </c>
      <c r="H86" s="2" t="s">
        <v>6</v>
      </c>
      <c r="I86" s="89">
        <v>766484.34</v>
      </c>
      <c r="J86" s="149" cm="1">
        <f t="array" ref="J86">_xlfn.IFS(D86="INDUSTOWER","40",D86="RELIANCEIN","44",D86="SIEMENSLTD","120",D86="CLEANMAX","40",D86="AVAADA","40",D86="ARCHTECH","40")+G86</f>
        <v>46179</v>
      </c>
      <c r="K86" s="150">
        <v>46135</v>
      </c>
      <c r="L86" s="149">
        <f t="shared" si="24"/>
        <v>46199</v>
      </c>
      <c r="M86" s="6" t="s">
        <v>357</v>
      </c>
      <c r="N86" s="148">
        <f t="shared" si="25"/>
        <v>46135</v>
      </c>
      <c r="O86" s="157"/>
      <c r="P86" s="208"/>
      <c r="Q86" s="18" t="s">
        <v>198</v>
      </c>
      <c r="R86" s="18">
        <f t="shared" si="26"/>
        <v>689835.90599999996</v>
      </c>
      <c r="S86" s="3">
        <v>7.6999999999999999E-2</v>
      </c>
      <c r="T86" s="145">
        <f t="shared" si="27"/>
        <v>64</v>
      </c>
      <c r="U86" s="4">
        <f t="shared" si="28"/>
        <v>9314</v>
      </c>
      <c r="V86" s="4">
        <f t="shared" si="29"/>
        <v>680521.90599999996</v>
      </c>
      <c r="W86" s="17"/>
      <c r="X86" s="6"/>
      <c r="Y86" s="94"/>
      <c r="Z86" s="94"/>
      <c r="AA86" s="20"/>
      <c r="AB86" s="19"/>
      <c r="AC86" s="165" cm="1">
        <f t="array" ref="AC86">_xlfn.IFS(D86="INDUSTOWER","275000000",D86="RELIANCEIN","220000000",D86="SIEMENSLTD","83330000")-I86</f>
        <v>219233515.66</v>
      </c>
    </row>
    <row r="87" spans="1:29" x14ac:dyDescent="0.25">
      <c r="A87" s="1">
        <v>4</v>
      </c>
      <c r="B87" s="1">
        <f>SUBTOTAL(3,C$3:C87)</f>
        <v>85</v>
      </c>
      <c r="C87" s="6" t="s">
        <v>93</v>
      </c>
      <c r="D87" s="30" t="s">
        <v>24</v>
      </c>
      <c r="E87" s="30" t="s">
        <v>7</v>
      </c>
      <c r="F87" s="54" t="s">
        <v>353</v>
      </c>
      <c r="G87" s="146">
        <v>46135</v>
      </c>
      <c r="H87" s="2" t="s">
        <v>6</v>
      </c>
      <c r="I87" s="89">
        <v>766484.34</v>
      </c>
      <c r="J87" s="149" cm="1">
        <f t="array" ref="J87">_xlfn.IFS(D87="INDUSTOWER","40",D87="RELIANCEIN","44",D87="SIEMENSLTD","120",D87="CLEANMAX","40",D87="AVAADA","40",D87="ARCHTECH","40")+G87</f>
        <v>46179</v>
      </c>
      <c r="K87" s="150">
        <v>46135</v>
      </c>
      <c r="L87" s="149">
        <f t="shared" si="24"/>
        <v>46199</v>
      </c>
      <c r="M87" s="6" t="s">
        <v>358</v>
      </c>
      <c r="N87" s="148">
        <f t="shared" si="25"/>
        <v>46135</v>
      </c>
      <c r="O87" s="157"/>
      <c r="P87" s="208"/>
      <c r="Q87" s="18" t="s">
        <v>198</v>
      </c>
      <c r="R87" s="18">
        <f t="shared" si="26"/>
        <v>689835.90599999996</v>
      </c>
      <c r="S87" s="3">
        <v>7.6999999999999999E-2</v>
      </c>
      <c r="T87" s="145">
        <f t="shared" si="27"/>
        <v>64</v>
      </c>
      <c r="U87" s="4">
        <f t="shared" si="28"/>
        <v>9314</v>
      </c>
      <c r="V87" s="4">
        <f t="shared" si="29"/>
        <v>680521.90599999996</v>
      </c>
      <c r="W87" s="17"/>
      <c r="X87" s="6"/>
      <c r="Y87" s="94"/>
      <c r="Z87" s="94"/>
      <c r="AA87" s="20"/>
      <c r="AB87" s="19"/>
      <c r="AC87" s="165" cm="1">
        <f t="array" ref="AC87">_xlfn.IFS(D87="INDUSTOWER","275000000",D87="RELIANCEIN","220000000",D87="SIEMENSLTD","83330000")-I87</f>
        <v>219233515.66</v>
      </c>
    </row>
    <row r="88" spans="1:29" x14ac:dyDescent="0.25">
      <c r="A88" s="1">
        <v>4</v>
      </c>
      <c r="B88" s="1">
        <f>SUBTOTAL(3,C$3:C88)</f>
        <v>86</v>
      </c>
      <c r="C88" s="6" t="s">
        <v>93</v>
      </c>
      <c r="D88" s="30" t="s">
        <v>24</v>
      </c>
      <c r="E88" s="30" t="s">
        <v>7</v>
      </c>
      <c r="F88" s="54" t="s">
        <v>354</v>
      </c>
      <c r="G88" s="146">
        <v>46135</v>
      </c>
      <c r="H88" s="2" t="s">
        <v>6</v>
      </c>
      <c r="I88" s="89">
        <v>766484.34</v>
      </c>
      <c r="J88" s="149" cm="1">
        <f t="array" ref="J88">_xlfn.IFS(D88="INDUSTOWER","40",D88="RELIANCEIN","44",D88="SIEMENSLTD","120",D88="CLEANMAX","40",D88="AVAADA","40",D88="ARCHTECH","40")+G88</f>
        <v>46179</v>
      </c>
      <c r="K88" s="150">
        <v>46135</v>
      </c>
      <c r="L88" s="149">
        <f t="shared" si="24"/>
        <v>46199</v>
      </c>
      <c r="M88" s="6" t="s">
        <v>359</v>
      </c>
      <c r="N88" s="148">
        <f t="shared" si="25"/>
        <v>46135</v>
      </c>
      <c r="O88" s="157"/>
      <c r="P88" s="208"/>
      <c r="Q88" s="18" t="s">
        <v>198</v>
      </c>
      <c r="R88" s="18">
        <f t="shared" si="26"/>
        <v>689835.90599999996</v>
      </c>
      <c r="S88" s="3">
        <v>7.6999999999999999E-2</v>
      </c>
      <c r="T88" s="145">
        <f t="shared" si="27"/>
        <v>64</v>
      </c>
      <c r="U88" s="4">
        <f t="shared" si="28"/>
        <v>9314</v>
      </c>
      <c r="V88" s="4">
        <f t="shared" si="29"/>
        <v>680521.90599999996</v>
      </c>
      <c r="W88" s="17"/>
      <c r="X88" s="6"/>
      <c r="Y88" s="94"/>
      <c r="Z88" s="94"/>
      <c r="AA88" s="20"/>
      <c r="AB88" s="19"/>
      <c r="AC88" s="165" cm="1">
        <f t="array" ref="AC88">_xlfn.IFS(D88="INDUSTOWER","275000000",D88="RELIANCEIN","220000000",D88="SIEMENSLTD","83330000")-I88</f>
        <v>219233515.66</v>
      </c>
    </row>
    <row r="89" spans="1:29" x14ac:dyDescent="0.25">
      <c r="A89" s="158">
        <v>5</v>
      </c>
      <c r="B89" s="51">
        <f>SUBTOTAL(3,C$3:C89)</f>
        <v>87</v>
      </c>
      <c r="C89" s="6" t="s">
        <v>93</v>
      </c>
      <c r="D89" s="30" t="s">
        <v>24</v>
      </c>
      <c r="E89" s="30" t="s">
        <v>7</v>
      </c>
      <c r="F89" s="211" t="s">
        <v>429</v>
      </c>
      <c r="G89" s="212">
        <v>46136</v>
      </c>
      <c r="H89" s="2" t="s">
        <v>6</v>
      </c>
      <c r="I89" s="89">
        <v>766484.34</v>
      </c>
      <c r="J89" s="151" cm="1">
        <f t="array" ref="J89">_xlfn.IFS(D89="INDUSTOWER","40",D89="RELIANCEIN","44",D89="SIEMENSLTD","120",D89="CLEANMAX","40",D89="AVAADA","40",D89="ARCHTECH","40")+G89</f>
        <v>46180</v>
      </c>
      <c r="K89" s="215">
        <v>46136</v>
      </c>
      <c r="L89" s="161">
        <f t="shared" si="24"/>
        <v>46200</v>
      </c>
      <c r="M89" s="209" t="s">
        <v>431</v>
      </c>
      <c r="N89" s="216">
        <f t="shared" si="25"/>
        <v>46136</v>
      </c>
      <c r="O89" s="157"/>
      <c r="P89" s="208"/>
      <c r="Q89" s="84" t="s">
        <v>198</v>
      </c>
      <c r="R89" s="84">
        <f t="shared" si="26"/>
        <v>689835.90599999996</v>
      </c>
      <c r="S89" s="3">
        <v>7.6999999999999999E-2</v>
      </c>
      <c r="T89" s="162">
        <f t="shared" si="27"/>
        <v>64</v>
      </c>
      <c r="U89" s="85">
        <f t="shared" si="28"/>
        <v>9314</v>
      </c>
      <c r="V89" s="85">
        <f t="shared" si="29"/>
        <v>680521.90599999996</v>
      </c>
      <c r="W89" s="217"/>
      <c r="X89" s="209"/>
      <c r="Y89" s="218"/>
      <c r="Z89" s="218"/>
      <c r="AA89" s="219"/>
      <c r="AB89" s="220"/>
      <c r="AC89" s="221" cm="1">
        <f t="array" ref="AC89">_xlfn.IFS(D89="INDUSTOWER","275000000",D89="RELIANCEIN","220000000",D89="SIEMENSLTD","83330000")-I89</f>
        <v>219233515.66</v>
      </c>
    </row>
    <row r="90" spans="1:29" x14ac:dyDescent="0.25">
      <c r="A90" s="158">
        <v>5</v>
      </c>
      <c r="B90" s="51">
        <f>SUBTOTAL(3,C$3:C90)</f>
        <v>88</v>
      </c>
      <c r="C90" s="6" t="s">
        <v>93</v>
      </c>
      <c r="D90" s="30" t="s">
        <v>24</v>
      </c>
      <c r="E90" s="30" t="s">
        <v>7</v>
      </c>
      <c r="F90" s="211" t="s">
        <v>430</v>
      </c>
      <c r="G90" s="212">
        <v>46136</v>
      </c>
      <c r="H90" s="2" t="s">
        <v>6</v>
      </c>
      <c r="I90" s="89">
        <v>766484.34</v>
      </c>
      <c r="J90" s="151" cm="1">
        <f t="array" ref="J90">_xlfn.IFS(D90="INDUSTOWER","40",D90="RELIANCEIN","44",D90="SIEMENSLTD","120",D90="CLEANMAX","40",D90="AVAADA","40",D90="ARCHTECH","40")+G90</f>
        <v>46180</v>
      </c>
      <c r="K90" s="215">
        <v>46136</v>
      </c>
      <c r="L90" s="161">
        <f t="shared" si="24"/>
        <v>46200</v>
      </c>
      <c r="M90" s="209" t="s">
        <v>432</v>
      </c>
      <c r="N90" s="216">
        <f t="shared" si="25"/>
        <v>46136</v>
      </c>
      <c r="O90" s="157"/>
      <c r="P90" s="208"/>
      <c r="Q90" s="84" t="s">
        <v>198</v>
      </c>
      <c r="R90" s="84">
        <f t="shared" si="26"/>
        <v>689835.90599999996</v>
      </c>
      <c r="S90" s="3">
        <v>7.6999999999999999E-2</v>
      </c>
      <c r="T90" s="162">
        <f t="shared" si="27"/>
        <v>64</v>
      </c>
      <c r="U90" s="85">
        <f t="shared" si="28"/>
        <v>9314</v>
      </c>
      <c r="V90" s="85">
        <f t="shared" si="29"/>
        <v>680521.90599999996</v>
      </c>
      <c r="W90" s="217"/>
      <c r="X90" s="209"/>
      <c r="Y90" s="218"/>
      <c r="Z90" s="218"/>
      <c r="AA90" s="219"/>
      <c r="AB90" s="220"/>
      <c r="AC90" s="221" cm="1">
        <f t="array" ref="AC90">_xlfn.IFS(D90="INDUSTOWER","275000000",D90="RELIANCEIN","220000000",D90="SIEMENSLTD","83330000")-I90</f>
        <v>219233515.66</v>
      </c>
    </row>
    <row r="91" spans="1:29" x14ac:dyDescent="0.25">
      <c r="A91" s="158">
        <v>6</v>
      </c>
      <c r="B91" s="51">
        <f>SUBTOTAL(3,C$3:C91)</f>
        <v>89</v>
      </c>
      <c r="C91" s="6" t="s">
        <v>93</v>
      </c>
      <c r="D91" s="30" t="s">
        <v>24</v>
      </c>
      <c r="E91" s="30" t="s">
        <v>7</v>
      </c>
      <c r="F91" s="211" t="s">
        <v>440</v>
      </c>
      <c r="G91" s="212">
        <v>46136</v>
      </c>
      <c r="H91" s="2" t="s">
        <v>6</v>
      </c>
      <c r="I91" s="214">
        <v>1151810.98</v>
      </c>
      <c r="J91" s="151" cm="1">
        <f t="array" ref="J91">_xlfn.IFS(D91="INDUSTOWER","40",D91="RELIANCEIN","44",D91="SIEMENSLTD","120",D91="CLEANMAX","40",D91="AVAADA","40",D91="ARCHTECH","40")+G91</f>
        <v>46180</v>
      </c>
      <c r="K91" s="215">
        <v>46139</v>
      </c>
      <c r="L91" s="161">
        <f>+J91+20</f>
        <v>46200</v>
      </c>
      <c r="M91" s="209" t="s">
        <v>442</v>
      </c>
      <c r="N91" s="216">
        <f>+G91</f>
        <v>46136</v>
      </c>
      <c r="O91" s="157"/>
      <c r="P91" s="208"/>
      <c r="Q91" s="84" t="s">
        <v>26</v>
      </c>
      <c r="R91" s="84">
        <f>+I91*0.9</f>
        <v>1036629.882</v>
      </c>
      <c r="S91" s="3">
        <v>7.6999999999999999E-2</v>
      </c>
      <c r="T91" s="162">
        <f>+J91-K91+20</f>
        <v>61</v>
      </c>
      <c r="U91" s="85">
        <f>ROUND(+R91*S91*T91/365,0)</f>
        <v>13340</v>
      </c>
      <c r="V91" s="85">
        <f>+R91-U91</f>
        <v>1023289.882</v>
      </c>
      <c r="W91" s="217"/>
      <c r="X91" s="209"/>
      <c r="Y91" s="218"/>
      <c r="Z91" s="218"/>
      <c r="AA91" s="219"/>
      <c r="AB91" s="220"/>
      <c r="AC91" s="221" cm="1">
        <f t="array" ref="AC91">_xlfn.IFS(D91="INDUSTOWER","275000000",D91="RELIANCEIN","220000000",D91="SIEMENSLTD","83330000")-I91</f>
        <v>218848189.02000001</v>
      </c>
    </row>
    <row r="92" spans="1:29" x14ac:dyDescent="0.25">
      <c r="A92" s="158">
        <v>6</v>
      </c>
      <c r="B92" s="51">
        <f>SUBTOTAL(3,C$3:C92)</f>
        <v>90</v>
      </c>
      <c r="C92" s="6" t="s">
        <v>93</v>
      </c>
      <c r="D92" s="30" t="s">
        <v>24</v>
      </c>
      <c r="E92" s="30" t="s">
        <v>7</v>
      </c>
      <c r="F92" s="211" t="s">
        <v>441</v>
      </c>
      <c r="G92" s="212">
        <v>46138</v>
      </c>
      <c r="H92" s="2" t="s">
        <v>6</v>
      </c>
      <c r="I92" s="214">
        <v>766484.34</v>
      </c>
      <c r="J92" s="151" cm="1">
        <f t="array" ref="J92">_xlfn.IFS(D92="INDUSTOWER","40",D92="RELIANCEIN","44",D92="SIEMENSLTD","120",D92="CLEANMAX","40",D92="AVAADA","40",D92="ARCHTECH","40")+G92</f>
        <v>46182</v>
      </c>
      <c r="K92" s="215">
        <v>46139</v>
      </c>
      <c r="L92" s="161">
        <f>+J92+20</f>
        <v>46202</v>
      </c>
      <c r="M92" s="209" t="s">
        <v>443</v>
      </c>
      <c r="N92" s="216">
        <f>+G92</f>
        <v>46138</v>
      </c>
      <c r="O92" s="157"/>
      <c r="P92" s="208"/>
      <c r="Q92" s="84" t="s">
        <v>198</v>
      </c>
      <c r="R92" s="84">
        <f>+I92*0.9</f>
        <v>689835.90599999996</v>
      </c>
      <c r="S92" s="3">
        <v>7.6999999999999999E-2</v>
      </c>
      <c r="T92" s="162">
        <f>+J92-K92+20</f>
        <v>63</v>
      </c>
      <c r="U92" s="85">
        <f>ROUND(+R92*S92*T92/365,0)</f>
        <v>9168</v>
      </c>
      <c r="V92" s="85">
        <f>+R92-U92</f>
        <v>680667.90599999996</v>
      </c>
      <c r="W92" s="217"/>
      <c r="X92" s="209"/>
      <c r="Y92" s="218"/>
      <c r="Z92" s="218"/>
      <c r="AA92" s="219"/>
      <c r="AB92" s="220"/>
      <c r="AC92" s="221" cm="1">
        <f t="array" ref="AC92">_xlfn.IFS(D92="INDUSTOWER","275000000",D92="RELIANCEIN","220000000",D92="SIEMENSLTD","83330000")-I92</f>
        <v>219233515.66</v>
      </c>
    </row>
    <row r="93" spans="1:29" x14ac:dyDescent="0.25">
      <c r="A93" s="158">
        <f>SUBTOTAL(3,B$3:B93)</f>
        <v>0</v>
      </c>
      <c r="B93" s="51">
        <f>SUBTOTAL(3,C$3:C93)</f>
        <v>91</v>
      </c>
      <c r="C93" s="209" t="s">
        <v>93</v>
      </c>
      <c r="D93" s="210" t="s">
        <v>96</v>
      </c>
      <c r="E93" s="210" t="s">
        <v>7</v>
      </c>
      <c r="F93" s="211" t="s">
        <v>130</v>
      </c>
      <c r="G93" s="212">
        <v>46020</v>
      </c>
      <c r="H93" s="213" t="s">
        <v>6</v>
      </c>
      <c r="I93" s="214">
        <v>17142711.34</v>
      </c>
      <c r="J93" s="151" cm="1">
        <f t="array" ref="J93">_xlfn.IFS(D93="INDUSTOWER","40",D93="RELIANCEIN","44",D93="SIEMENSLTD","120",D93="CLEANMAX","40",D93="AVAADA","40",D93="ARCHTECH","40")+G93</f>
        <v>46140</v>
      </c>
      <c r="K93" s="215">
        <v>46062</v>
      </c>
      <c r="L93" s="161">
        <f t="shared" ref="L93:L99" si="30">+J93+20</f>
        <v>46160</v>
      </c>
      <c r="M93" s="209"/>
      <c r="N93" s="216">
        <f t="shared" si="21"/>
        <v>46020</v>
      </c>
      <c r="O93" s="157"/>
      <c r="P93" s="156"/>
      <c r="Q93" s="84"/>
      <c r="R93" s="84">
        <f t="shared" ref="R93:R99" si="31">+I93*0.9</f>
        <v>15428440.206</v>
      </c>
      <c r="S93" s="3">
        <v>7.6999999999999999E-2</v>
      </c>
      <c r="T93" s="162">
        <f t="shared" ref="T93:T109" si="32">+J93-K93+20</f>
        <v>98</v>
      </c>
      <c r="U93" s="85">
        <f t="shared" ref="U93:U109" si="33">ROUND(+R93*S93*T93/365,0)</f>
        <v>318967</v>
      </c>
      <c r="V93" s="85">
        <f t="shared" ref="V93:V99" si="34">+R93-U93</f>
        <v>15109473.206</v>
      </c>
      <c r="W93" s="217"/>
      <c r="X93" s="209"/>
      <c r="Y93" s="218"/>
      <c r="Z93" s="218"/>
      <c r="AA93" s="219"/>
      <c r="AB93" s="220"/>
      <c r="AC93" s="221" cm="1">
        <f t="array" ref="AC93">_xlfn.IFS(D93="INDUSTOWER","275000000",D93="RELIANCEIN","220000000",D93="SIEMENSLTD","83330000")-I93</f>
        <v>66187288.659999996</v>
      </c>
    </row>
    <row r="94" spans="1:29" x14ac:dyDescent="0.25">
      <c r="A94" s="158">
        <f>SUBTOTAL(3,B$3:B94)</f>
        <v>0</v>
      </c>
      <c r="B94" s="1">
        <f>SUBTOTAL(3,C$3:C94)</f>
        <v>92</v>
      </c>
      <c r="C94" s="83" t="s">
        <v>93</v>
      </c>
      <c r="D94" s="49" t="s">
        <v>96</v>
      </c>
      <c r="E94" s="49" t="s">
        <v>7</v>
      </c>
      <c r="F94" s="90" t="s">
        <v>131</v>
      </c>
      <c r="G94" s="159">
        <v>46037</v>
      </c>
      <c r="H94" s="34" t="s">
        <v>6</v>
      </c>
      <c r="I94" s="91">
        <v>40214</v>
      </c>
      <c r="J94" s="149" cm="1">
        <f t="array" ref="J94">_xlfn.IFS(D94="INDUSTOWER","40",D94="RELIANCEIN","44",D94="SIEMENSLTD","120",D94="CLEANMAX","40",D94="AVAADA","40",D94="ARCHTECH","40")+G94</f>
        <v>46157</v>
      </c>
      <c r="K94" s="160">
        <v>46062</v>
      </c>
      <c r="L94" s="161">
        <f t="shared" si="30"/>
        <v>46177</v>
      </c>
      <c r="M94" s="83"/>
      <c r="N94" s="157">
        <f t="shared" si="21"/>
        <v>46037</v>
      </c>
      <c r="O94" s="157"/>
      <c r="P94" s="156"/>
      <c r="Q94" s="84"/>
      <c r="R94" s="84">
        <f t="shared" si="31"/>
        <v>36192.6</v>
      </c>
      <c r="S94" s="92">
        <v>7.6999999999999999E-2</v>
      </c>
      <c r="T94" s="162">
        <f t="shared" si="32"/>
        <v>115</v>
      </c>
      <c r="U94" s="93">
        <f t="shared" si="33"/>
        <v>878</v>
      </c>
      <c r="V94" s="85">
        <f t="shared" si="34"/>
        <v>35314.6</v>
      </c>
      <c r="W94" s="86"/>
      <c r="X94" s="83"/>
      <c r="Y94" s="163"/>
      <c r="Z94" s="163"/>
      <c r="AA94" s="88"/>
      <c r="AB94" s="87"/>
      <c r="AC94" s="165" cm="1">
        <f t="array" ref="AC94">_xlfn.IFS(D94="INDUSTOWER","275000000",D94="RELIANCEIN","220000000",D94="SIEMENSLTD","83330000")-I94</f>
        <v>83289786</v>
      </c>
    </row>
    <row r="95" spans="1:29" x14ac:dyDescent="0.25">
      <c r="A95" s="158">
        <f>SUBTOTAL(3,B$3:B95)</f>
        <v>0</v>
      </c>
      <c r="B95" s="1">
        <f>SUBTOTAL(3,C$3:C95)</f>
        <v>93</v>
      </c>
      <c r="C95" s="83" t="s">
        <v>93</v>
      </c>
      <c r="D95" s="49" t="s">
        <v>96</v>
      </c>
      <c r="E95" s="49" t="s">
        <v>7</v>
      </c>
      <c r="F95" s="90" t="s">
        <v>132</v>
      </c>
      <c r="G95" s="159">
        <v>46043</v>
      </c>
      <c r="H95" s="34" t="s">
        <v>6</v>
      </c>
      <c r="I95" s="91">
        <v>10602</v>
      </c>
      <c r="J95" s="149" cm="1">
        <f t="array" ref="J95">_xlfn.IFS(D95="INDUSTOWER","40",D95="RELIANCEIN","44",D95="SIEMENSLTD","120",D95="CLEANMAX","40",D95="AVAADA","40",D95="ARCHTECH","40")+G95</f>
        <v>46163</v>
      </c>
      <c r="K95" s="160">
        <v>46062</v>
      </c>
      <c r="L95" s="161">
        <f t="shared" si="30"/>
        <v>46183</v>
      </c>
      <c r="M95" s="83"/>
      <c r="N95" s="157">
        <f t="shared" si="21"/>
        <v>46043</v>
      </c>
      <c r="O95" s="157"/>
      <c r="P95" s="156"/>
      <c r="Q95" s="84"/>
      <c r="R95" s="84">
        <f t="shared" si="31"/>
        <v>9541.8000000000011</v>
      </c>
      <c r="S95" s="92">
        <v>7.6999999999999999E-2</v>
      </c>
      <c r="T95" s="162">
        <f t="shared" si="32"/>
        <v>121</v>
      </c>
      <c r="U95" s="93">
        <f t="shared" si="33"/>
        <v>244</v>
      </c>
      <c r="V95" s="85">
        <f t="shared" si="34"/>
        <v>9297.8000000000011</v>
      </c>
      <c r="W95" s="86"/>
      <c r="X95" s="83"/>
      <c r="Y95" s="163"/>
      <c r="Z95" s="163"/>
      <c r="AA95" s="88"/>
      <c r="AB95" s="87"/>
      <c r="AC95" s="165" cm="1">
        <f t="array" ref="AC95">_xlfn.IFS(D95="INDUSTOWER","275000000",D95="RELIANCEIN","220000000",D95="SIEMENSLTD","83330000")-I95</f>
        <v>83319398</v>
      </c>
    </row>
    <row r="96" spans="1:29" x14ac:dyDescent="0.25">
      <c r="A96" s="158">
        <f>SUBTOTAL(3,B$3:B96)</f>
        <v>0</v>
      </c>
      <c r="B96" s="1">
        <f>SUBTOTAL(3,C$3:C96)</f>
        <v>94</v>
      </c>
      <c r="C96" s="83" t="s">
        <v>93</v>
      </c>
      <c r="D96" s="49" t="s">
        <v>96</v>
      </c>
      <c r="E96" s="49" t="s">
        <v>7</v>
      </c>
      <c r="F96" s="90" t="s">
        <v>133</v>
      </c>
      <c r="G96" s="159">
        <v>46046</v>
      </c>
      <c r="H96" s="34" t="s">
        <v>6</v>
      </c>
      <c r="I96" s="91">
        <v>4838730</v>
      </c>
      <c r="J96" s="149" cm="1">
        <f t="array" ref="J96">_xlfn.IFS(D96="INDUSTOWER","40",D96="RELIANCEIN","44",D96="SIEMENSLTD","120",D96="CLEANMAX","40",D96="AVAADA","40",D96="ARCHTECH","40")+G96</f>
        <v>46166</v>
      </c>
      <c r="K96" s="160">
        <v>46062</v>
      </c>
      <c r="L96" s="161">
        <f t="shared" si="30"/>
        <v>46186</v>
      </c>
      <c r="M96" s="83"/>
      <c r="N96" s="157">
        <f t="shared" si="21"/>
        <v>46046</v>
      </c>
      <c r="O96" s="157"/>
      <c r="P96" s="156"/>
      <c r="Q96" s="84"/>
      <c r="R96" s="84">
        <f t="shared" si="31"/>
        <v>4354857</v>
      </c>
      <c r="S96" s="92">
        <v>7.6999999999999999E-2</v>
      </c>
      <c r="T96" s="162">
        <f t="shared" si="32"/>
        <v>124</v>
      </c>
      <c r="U96" s="93">
        <f t="shared" si="33"/>
        <v>113918</v>
      </c>
      <c r="V96" s="85">
        <f t="shared" si="34"/>
        <v>4240939</v>
      </c>
      <c r="W96" s="86"/>
      <c r="X96" s="83"/>
      <c r="Y96" s="163"/>
      <c r="Z96" s="163"/>
      <c r="AA96" s="88"/>
      <c r="AB96" s="87"/>
      <c r="AC96" s="165" cm="1">
        <f t="array" ref="AC96">_xlfn.IFS(D96="INDUSTOWER","275000000",D96="RELIANCEIN","220000000",D96="SIEMENSLTD","83330000")-I96</f>
        <v>78491270</v>
      </c>
    </row>
    <row r="97" spans="1:30" x14ac:dyDescent="0.25">
      <c r="A97" s="158">
        <f>SUBTOTAL(3,B$3:B97)</f>
        <v>0</v>
      </c>
      <c r="B97" s="1">
        <f>SUBTOTAL(3,C$3:C97)</f>
        <v>95</v>
      </c>
      <c r="C97" s="83" t="s">
        <v>93</v>
      </c>
      <c r="D97" s="49" t="s">
        <v>96</v>
      </c>
      <c r="E97" s="49" t="s">
        <v>7</v>
      </c>
      <c r="F97" s="90" t="s">
        <v>134</v>
      </c>
      <c r="G97" s="159">
        <v>46072</v>
      </c>
      <c r="H97" s="34" t="s">
        <v>6</v>
      </c>
      <c r="I97" s="91">
        <v>84594.2</v>
      </c>
      <c r="J97" s="149" cm="1">
        <f t="array" ref="J97">_xlfn.IFS(D97="INDUSTOWER","40",D97="RELIANCEIN","44",D97="SIEMENSLTD","120",D97="CLEANMAX","40",D97="AVAADA","40",D97="ARCHTECH","40")+G97</f>
        <v>46192</v>
      </c>
      <c r="K97" s="160">
        <v>46129</v>
      </c>
      <c r="L97" s="161">
        <f t="shared" si="30"/>
        <v>46212</v>
      </c>
      <c r="M97" s="83"/>
      <c r="N97" s="157">
        <f t="shared" si="21"/>
        <v>46072</v>
      </c>
      <c r="O97" s="157"/>
      <c r="P97" s="156"/>
      <c r="Q97" s="84"/>
      <c r="R97" s="84">
        <f t="shared" si="31"/>
        <v>76134.78</v>
      </c>
      <c r="S97" s="92">
        <v>7.6999999999999999E-2</v>
      </c>
      <c r="T97" s="162">
        <f t="shared" si="32"/>
        <v>83</v>
      </c>
      <c r="U97" s="93">
        <f t="shared" si="33"/>
        <v>1333</v>
      </c>
      <c r="V97" s="85">
        <f t="shared" si="34"/>
        <v>74801.78</v>
      </c>
      <c r="W97" s="86"/>
      <c r="X97" s="83"/>
      <c r="Y97" s="163"/>
      <c r="Z97" s="163"/>
      <c r="AA97" s="88"/>
      <c r="AB97" s="87"/>
      <c r="AC97" s="165" cm="1">
        <f t="array" ref="AC97">_xlfn.IFS(D97="INDUSTOWER","275000000",D97="RELIANCEIN","220000000",D97="SIEMENSLTD","83330000")-I97</f>
        <v>83245405.799999997</v>
      </c>
    </row>
    <row r="98" spans="1:30" x14ac:dyDescent="0.25">
      <c r="A98" s="158">
        <f>SUBTOTAL(3,B$3:B98)</f>
        <v>0</v>
      </c>
      <c r="B98" s="1">
        <f>SUBTOTAL(3,C$3:C98)</f>
        <v>96</v>
      </c>
      <c r="C98" s="83" t="s">
        <v>93</v>
      </c>
      <c r="D98" s="49" t="s">
        <v>96</v>
      </c>
      <c r="E98" s="49" t="s">
        <v>7</v>
      </c>
      <c r="F98" s="90" t="s">
        <v>135</v>
      </c>
      <c r="G98" s="159">
        <v>46072</v>
      </c>
      <c r="H98" s="34" t="s">
        <v>6</v>
      </c>
      <c r="I98" s="91">
        <v>92346.8</v>
      </c>
      <c r="J98" s="149" cm="1">
        <f t="array" ref="J98">_xlfn.IFS(D98="INDUSTOWER","40",D98="RELIANCEIN","44",D98="SIEMENSLTD","120",D98="CLEANMAX","40",D98="AVAADA","40",D98="ARCHTECH","40")+G98</f>
        <v>46192</v>
      </c>
      <c r="K98" s="160">
        <v>46129</v>
      </c>
      <c r="L98" s="161">
        <f t="shared" si="30"/>
        <v>46212</v>
      </c>
      <c r="M98" s="83"/>
      <c r="N98" s="157">
        <f t="shared" si="21"/>
        <v>46072</v>
      </c>
      <c r="O98" s="157"/>
      <c r="P98" s="156"/>
      <c r="Q98" s="84"/>
      <c r="R98" s="84">
        <f t="shared" si="31"/>
        <v>83112.12000000001</v>
      </c>
      <c r="S98" s="92">
        <v>7.6999999999999999E-2</v>
      </c>
      <c r="T98" s="162">
        <f t="shared" si="32"/>
        <v>83</v>
      </c>
      <c r="U98" s="93">
        <f t="shared" si="33"/>
        <v>1455</v>
      </c>
      <c r="V98" s="85">
        <f t="shared" si="34"/>
        <v>81657.12000000001</v>
      </c>
      <c r="W98" s="86"/>
      <c r="X98" s="83"/>
      <c r="Y98" s="163"/>
      <c r="Z98" s="163"/>
      <c r="AA98" s="88"/>
      <c r="AB98" s="87"/>
      <c r="AC98" s="165" cm="1">
        <f t="array" ref="AC98">_xlfn.IFS(D98="INDUSTOWER","275000000",D98="RELIANCEIN","220000000",D98="SIEMENSLTD","83330000")-I98</f>
        <v>83237653.200000003</v>
      </c>
    </row>
    <row r="99" spans="1:30" x14ac:dyDescent="0.25">
      <c r="A99" s="158">
        <f>SUBTOTAL(3,B$3:B99)</f>
        <v>0</v>
      </c>
      <c r="B99" s="1">
        <f>SUBTOTAL(3,C$3:C99)</f>
        <v>97</v>
      </c>
      <c r="C99" s="83" t="s">
        <v>93</v>
      </c>
      <c r="D99" s="49" t="s">
        <v>96</v>
      </c>
      <c r="E99" s="49" t="s">
        <v>7</v>
      </c>
      <c r="F99" s="90" t="s">
        <v>136</v>
      </c>
      <c r="G99" s="159">
        <v>46073</v>
      </c>
      <c r="H99" s="34" t="s">
        <v>6</v>
      </c>
      <c r="I99" s="91">
        <v>8340.24</v>
      </c>
      <c r="J99" s="149" cm="1">
        <f t="array" ref="J99">_xlfn.IFS(D99="INDUSTOWER","40",D99="RELIANCEIN","44",D99="SIEMENSLTD","120",D99="CLEANMAX","40",D99="AVAADA","40",D99="ARCHTECH","40")+G99</f>
        <v>46193</v>
      </c>
      <c r="K99" s="160">
        <v>46129</v>
      </c>
      <c r="L99" s="161">
        <f t="shared" si="30"/>
        <v>46213</v>
      </c>
      <c r="M99" s="83"/>
      <c r="N99" s="157">
        <f t="shared" si="21"/>
        <v>46073</v>
      </c>
      <c r="O99" s="157"/>
      <c r="P99" s="156"/>
      <c r="Q99" s="84"/>
      <c r="R99" s="84">
        <f t="shared" si="31"/>
        <v>7506.2160000000003</v>
      </c>
      <c r="S99" s="92">
        <v>7.6999999999999999E-2</v>
      </c>
      <c r="T99" s="162">
        <f t="shared" si="32"/>
        <v>84</v>
      </c>
      <c r="U99" s="93">
        <f t="shared" si="33"/>
        <v>133</v>
      </c>
      <c r="V99" s="85">
        <f t="shared" si="34"/>
        <v>7373.2160000000003</v>
      </c>
      <c r="W99" s="86"/>
      <c r="X99" s="83"/>
      <c r="Y99" s="163"/>
      <c r="Z99" s="163"/>
      <c r="AA99" s="88"/>
      <c r="AB99" s="87"/>
      <c r="AC99" s="165" cm="1">
        <f t="array" ref="AC99">_xlfn.IFS(D99="INDUSTOWER","275000000",D99="RELIANCEIN","220000000",D99="SIEMENSLTD","83330000")-I99</f>
        <v>83321659.760000005</v>
      </c>
      <c r="AD99"/>
    </row>
    <row r="100" spans="1:30" x14ac:dyDescent="0.25">
      <c r="A100" s="158">
        <f>SUBTOTAL(3,B$3:B100)</f>
        <v>0</v>
      </c>
      <c r="B100" s="1">
        <f>SUBTOTAL(3,C$3:C100)</f>
        <v>98</v>
      </c>
      <c r="C100" s="83" t="s">
        <v>93</v>
      </c>
      <c r="D100" s="49" t="s">
        <v>96</v>
      </c>
      <c r="E100" s="49" t="s">
        <v>7</v>
      </c>
      <c r="F100" s="90" t="s">
        <v>339</v>
      </c>
      <c r="G100" s="159">
        <v>46077</v>
      </c>
      <c r="H100" s="34" t="s">
        <v>6</v>
      </c>
      <c r="I100" s="91">
        <v>1324019</v>
      </c>
      <c r="J100" s="149" cm="1">
        <f t="array" ref="J100">_xlfn.IFS(D100="INDUSTOWER","40",D100="RELIANCEIN","44",D100="SIEMENSLTD","120",D100="CLEANMAX","40",D100="AVAADA","40",D100="ARCHTECH","40")+G100</f>
        <v>46197</v>
      </c>
      <c r="K100" s="160">
        <v>46129</v>
      </c>
      <c r="L100" s="161">
        <f t="shared" ref="L100:L106" si="35">+J100+20</f>
        <v>46217</v>
      </c>
      <c r="M100" s="83"/>
      <c r="N100" s="157">
        <f t="shared" si="21"/>
        <v>46077</v>
      </c>
      <c r="O100" s="157"/>
      <c r="P100" s="156"/>
      <c r="Q100" s="84"/>
      <c r="R100" s="84">
        <f t="shared" ref="R100:R106" si="36">+I100*0.9</f>
        <v>1191617.1000000001</v>
      </c>
      <c r="S100" s="92">
        <v>7.6999999999999999E-2</v>
      </c>
      <c r="T100" s="162">
        <f t="shared" si="32"/>
        <v>88</v>
      </c>
      <c r="U100" s="93">
        <f t="shared" si="33"/>
        <v>22122</v>
      </c>
      <c r="V100" s="85">
        <f t="shared" ref="V100:V106" si="37">+R100-U100</f>
        <v>1169495.1000000001</v>
      </c>
      <c r="W100" s="86"/>
      <c r="X100" s="83"/>
      <c r="Y100" s="163"/>
      <c r="Z100" s="163"/>
      <c r="AA100" s="88"/>
      <c r="AB100" s="87"/>
      <c r="AC100" s="165" cm="1">
        <f t="array" ref="AC100">_xlfn.IFS(D100="INDUSTOWER","275000000",D100="RELIANCEIN","220000000",D100="SIEMENSLTD","83330000")-I100</f>
        <v>82005981</v>
      </c>
      <c r="AD100"/>
    </row>
    <row r="101" spans="1:30" x14ac:dyDescent="0.25">
      <c r="A101" s="158">
        <f>SUBTOTAL(3,B$3:B101)</f>
        <v>0</v>
      </c>
      <c r="B101" s="1">
        <f>SUBTOTAL(3,C$3:C101)</f>
        <v>99</v>
      </c>
      <c r="C101" s="83" t="s">
        <v>93</v>
      </c>
      <c r="D101" s="49" t="s">
        <v>96</v>
      </c>
      <c r="E101" s="49" t="s">
        <v>7</v>
      </c>
      <c r="F101" s="90" t="s">
        <v>340</v>
      </c>
      <c r="G101" s="159">
        <v>46091</v>
      </c>
      <c r="H101" s="34" t="s">
        <v>6</v>
      </c>
      <c r="I101" s="91">
        <v>548932.46</v>
      </c>
      <c r="J101" s="149" cm="1">
        <f t="array" ref="J101">_xlfn.IFS(D101="INDUSTOWER","40",D101="RELIANCEIN","44",D101="SIEMENSLTD","120",D101="CLEANMAX","40",D101="AVAADA","40",D101="ARCHTECH","40")+G101</f>
        <v>46211</v>
      </c>
      <c r="K101" s="160">
        <v>46129</v>
      </c>
      <c r="L101" s="161">
        <f t="shared" si="35"/>
        <v>46231</v>
      </c>
      <c r="M101" s="83"/>
      <c r="N101" s="157">
        <f t="shared" si="21"/>
        <v>46091</v>
      </c>
      <c r="O101" s="157"/>
      <c r="P101" s="156"/>
      <c r="Q101" s="84"/>
      <c r="R101" s="84">
        <f t="shared" si="36"/>
        <v>494039.21399999998</v>
      </c>
      <c r="S101" s="92">
        <v>7.6999999999999999E-2</v>
      </c>
      <c r="T101" s="162">
        <f t="shared" si="32"/>
        <v>102</v>
      </c>
      <c r="U101" s="93">
        <f t="shared" si="33"/>
        <v>10631</v>
      </c>
      <c r="V101" s="85">
        <f t="shared" si="37"/>
        <v>483408.21399999998</v>
      </c>
      <c r="W101" s="86"/>
      <c r="X101" s="83"/>
      <c r="Y101" s="163"/>
      <c r="Z101" s="163"/>
      <c r="AA101" s="88"/>
      <c r="AB101" s="87"/>
      <c r="AC101" s="165" cm="1">
        <f t="array" ref="AC101">_xlfn.IFS(D101="INDUSTOWER","275000000",D101="RELIANCEIN","220000000",D101="SIEMENSLTD","83330000")-I101</f>
        <v>82781067.540000007</v>
      </c>
      <c r="AD101"/>
    </row>
    <row r="102" spans="1:30" x14ac:dyDescent="0.25">
      <c r="A102" s="158">
        <f>SUBTOTAL(3,B$3:B102)</f>
        <v>0</v>
      </c>
      <c r="B102" s="1">
        <f>SUBTOTAL(3,C$3:C102)</f>
        <v>100</v>
      </c>
      <c r="C102" s="83" t="s">
        <v>93</v>
      </c>
      <c r="D102" s="49" t="s">
        <v>96</v>
      </c>
      <c r="E102" s="49" t="s">
        <v>7</v>
      </c>
      <c r="F102" s="90" t="s">
        <v>341</v>
      </c>
      <c r="G102" s="159">
        <v>46091</v>
      </c>
      <c r="H102" s="34" t="s">
        <v>6</v>
      </c>
      <c r="I102" s="91">
        <v>1132374.02</v>
      </c>
      <c r="J102" s="149" cm="1">
        <f t="array" ref="J102">_xlfn.IFS(D102="INDUSTOWER","40",D102="RELIANCEIN","44",D102="SIEMENSLTD","120",D102="CLEANMAX","40",D102="AVAADA","40",D102="ARCHTECH","40")+G102</f>
        <v>46211</v>
      </c>
      <c r="K102" s="160">
        <v>46129</v>
      </c>
      <c r="L102" s="161">
        <f t="shared" si="35"/>
        <v>46231</v>
      </c>
      <c r="M102" s="83"/>
      <c r="N102" s="157">
        <f t="shared" si="21"/>
        <v>46091</v>
      </c>
      <c r="O102" s="157"/>
      <c r="P102" s="156"/>
      <c r="Q102" s="84"/>
      <c r="R102" s="84">
        <f t="shared" si="36"/>
        <v>1019136.618</v>
      </c>
      <c r="S102" s="92">
        <v>7.6999999999999999E-2</v>
      </c>
      <c r="T102" s="162">
        <f t="shared" si="32"/>
        <v>102</v>
      </c>
      <c r="U102" s="93">
        <f t="shared" si="33"/>
        <v>21930</v>
      </c>
      <c r="V102" s="85">
        <f t="shared" si="37"/>
        <v>997206.61800000002</v>
      </c>
      <c r="W102" s="86"/>
      <c r="X102" s="83"/>
      <c r="Y102" s="163"/>
      <c r="Z102" s="163"/>
      <c r="AA102" s="88"/>
      <c r="AB102" s="87"/>
      <c r="AC102" s="165" cm="1">
        <f t="array" ref="AC102">_xlfn.IFS(D102="INDUSTOWER","275000000",D102="RELIANCEIN","220000000",D102="SIEMENSLTD","83330000")-I102</f>
        <v>82197625.980000004</v>
      </c>
      <c r="AD102"/>
    </row>
    <row r="103" spans="1:30" x14ac:dyDescent="0.25">
      <c r="A103" s="158">
        <f>SUBTOTAL(3,B$3:B103)</f>
        <v>0</v>
      </c>
      <c r="B103" s="1">
        <f>SUBTOTAL(3,C$3:C103)</f>
        <v>101</v>
      </c>
      <c r="C103" s="83" t="s">
        <v>93</v>
      </c>
      <c r="D103" s="49" t="s">
        <v>96</v>
      </c>
      <c r="E103" s="49" t="s">
        <v>7</v>
      </c>
      <c r="F103" s="90" t="s">
        <v>342</v>
      </c>
      <c r="G103" s="159">
        <v>46094</v>
      </c>
      <c r="H103" s="34" t="s">
        <v>6</v>
      </c>
      <c r="I103" s="91">
        <v>2100392.92</v>
      </c>
      <c r="J103" s="149" cm="1">
        <f t="array" ref="J103">_xlfn.IFS(D103="INDUSTOWER","40",D103="RELIANCEIN","44",D103="SIEMENSLTD","120",D103="CLEANMAX","40",D103="AVAADA","40",D103="ARCHTECH","40")+G103</f>
        <v>46214</v>
      </c>
      <c r="K103" s="160">
        <v>46129</v>
      </c>
      <c r="L103" s="161">
        <f t="shared" si="35"/>
        <v>46234</v>
      </c>
      <c r="M103" s="83"/>
      <c r="N103" s="157">
        <f t="shared" si="21"/>
        <v>46094</v>
      </c>
      <c r="O103" s="157"/>
      <c r="P103" s="156"/>
      <c r="Q103" s="84"/>
      <c r="R103" s="84">
        <f t="shared" si="36"/>
        <v>1890353.628</v>
      </c>
      <c r="S103" s="92">
        <v>7.6999999999999999E-2</v>
      </c>
      <c r="T103" s="162">
        <f t="shared" si="32"/>
        <v>105</v>
      </c>
      <c r="U103" s="93">
        <f t="shared" si="33"/>
        <v>41873</v>
      </c>
      <c r="V103" s="85">
        <f t="shared" si="37"/>
        <v>1848480.628</v>
      </c>
      <c r="W103" s="86"/>
      <c r="X103" s="83"/>
      <c r="Y103" s="163"/>
      <c r="Z103" s="163"/>
      <c r="AA103" s="88"/>
      <c r="AB103" s="87"/>
      <c r="AC103" s="165" cm="1">
        <f t="array" ref="AC103">_xlfn.IFS(D103="INDUSTOWER","275000000",D103="RELIANCEIN","220000000",D103="SIEMENSLTD","83330000")-I103</f>
        <v>81229607.079999998</v>
      </c>
      <c r="AD103"/>
    </row>
    <row r="104" spans="1:30" x14ac:dyDescent="0.25">
      <c r="A104" s="158">
        <f>SUBTOTAL(3,B$3:B104)</f>
        <v>0</v>
      </c>
      <c r="B104" s="1">
        <f>SUBTOTAL(3,C$3:C104)</f>
        <v>102</v>
      </c>
      <c r="C104" s="83" t="s">
        <v>93</v>
      </c>
      <c r="D104" s="49" t="s">
        <v>96</v>
      </c>
      <c r="E104" s="49" t="s">
        <v>7</v>
      </c>
      <c r="F104" s="90" t="s">
        <v>343</v>
      </c>
      <c r="G104" s="159">
        <v>46097</v>
      </c>
      <c r="H104" s="34" t="s">
        <v>6</v>
      </c>
      <c r="I104" s="91">
        <v>2956569.06</v>
      </c>
      <c r="J104" s="149" cm="1">
        <f t="array" ref="J104">_xlfn.IFS(D104="INDUSTOWER","40",D104="RELIANCEIN","44",D104="SIEMENSLTD","120",D104="CLEANMAX","40",D104="AVAADA","40",D104="ARCHTECH","40")+G104</f>
        <v>46217</v>
      </c>
      <c r="K104" s="160">
        <v>46129</v>
      </c>
      <c r="L104" s="161">
        <f t="shared" si="35"/>
        <v>46237</v>
      </c>
      <c r="M104" s="83"/>
      <c r="N104" s="157">
        <f t="shared" si="21"/>
        <v>46097</v>
      </c>
      <c r="O104" s="157"/>
      <c r="P104" s="156"/>
      <c r="Q104" s="84"/>
      <c r="R104" s="84">
        <f t="shared" si="36"/>
        <v>2660912.1540000001</v>
      </c>
      <c r="S104" s="92">
        <v>7.6999999999999999E-2</v>
      </c>
      <c r="T104" s="162">
        <f t="shared" si="32"/>
        <v>108</v>
      </c>
      <c r="U104" s="93">
        <f t="shared" si="33"/>
        <v>60625</v>
      </c>
      <c r="V104" s="85">
        <f t="shared" si="37"/>
        <v>2600287.1540000001</v>
      </c>
      <c r="W104" s="86"/>
      <c r="X104" s="83"/>
      <c r="Y104" s="163"/>
      <c r="Z104" s="163"/>
      <c r="AA104" s="88"/>
      <c r="AB104" s="87"/>
      <c r="AC104" s="165" cm="1">
        <f t="array" ref="AC104">_xlfn.IFS(D104="INDUSTOWER","275000000",D104="RELIANCEIN","220000000",D104="SIEMENSLTD","83330000")-I104</f>
        <v>80373430.939999998</v>
      </c>
      <c r="AD104"/>
    </row>
    <row r="105" spans="1:30" x14ac:dyDescent="0.25">
      <c r="A105" s="158">
        <f>SUBTOTAL(3,B$3:B105)</f>
        <v>0</v>
      </c>
      <c r="B105" s="1">
        <f>SUBTOTAL(3,C$3:C105)</f>
        <v>103</v>
      </c>
      <c r="C105" s="83" t="s">
        <v>93</v>
      </c>
      <c r="D105" s="49" t="s">
        <v>96</v>
      </c>
      <c r="E105" s="49" t="s">
        <v>7</v>
      </c>
      <c r="F105" s="90" t="s">
        <v>138</v>
      </c>
      <c r="G105" s="159">
        <v>46107</v>
      </c>
      <c r="H105" s="34" t="s">
        <v>6</v>
      </c>
      <c r="I105" s="91">
        <v>451109.28</v>
      </c>
      <c r="J105" s="149" cm="1">
        <f t="array" ref="J105">_xlfn.IFS(D105="INDUSTOWER","40",D105="RELIANCEIN","44",D105="SIEMENSLTD","120",D105="CLEANMAX","40",D105="AVAADA","40",D105="ARCHTECH","40")+G105</f>
        <v>46227</v>
      </c>
      <c r="K105" s="160">
        <v>46129</v>
      </c>
      <c r="L105" s="161">
        <f t="shared" si="35"/>
        <v>46247</v>
      </c>
      <c r="M105" s="83"/>
      <c r="N105" s="157">
        <f t="shared" si="21"/>
        <v>46107</v>
      </c>
      <c r="O105" s="157"/>
      <c r="P105" s="156"/>
      <c r="Q105" s="84"/>
      <c r="R105" s="84">
        <f t="shared" si="36"/>
        <v>405998.35200000001</v>
      </c>
      <c r="S105" s="92">
        <v>7.6999999999999999E-2</v>
      </c>
      <c r="T105" s="162">
        <f t="shared" si="32"/>
        <v>118</v>
      </c>
      <c r="U105" s="93">
        <f t="shared" si="33"/>
        <v>10107</v>
      </c>
      <c r="V105" s="85">
        <f t="shared" si="37"/>
        <v>395891.35200000001</v>
      </c>
      <c r="W105" s="86"/>
      <c r="X105" s="83"/>
      <c r="Y105" s="163"/>
      <c r="Z105" s="163"/>
      <c r="AA105" s="88"/>
      <c r="AB105" s="87"/>
      <c r="AC105" s="165" cm="1">
        <f t="array" ref="AC105">_xlfn.IFS(D105="INDUSTOWER","275000000",D105="RELIANCEIN","220000000",D105="SIEMENSLTD","83330000")-I105</f>
        <v>82878890.719999999</v>
      </c>
      <c r="AD105"/>
    </row>
    <row r="106" spans="1:30" x14ac:dyDescent="0.25">
      <c r="A106" s="158">
        <f>SUBTOTAL(3,B$3:B106)</f>
        <v>0</v>
      </c>
      <c r="B106" s="1">
        <f>SUBTOTAL(3,C$3:C106)</f>
        <v>104</v>
      </c>
      <c r="C106" s="83" t="s">
        <v>93</v>
      </c>
      <c r="D106" s="49" t="s">
        <v>96</v>
      </c>
      <c r="E106" s="49" t="s">
        <v>7</v>
      </c>
      <c r="F106" s="90" t="s">
        <v>139</v>
      </c>
      <c r="G106" s="159">
        <v>46107</v>
      </c>
      <c r="H106" s="34" t="s">
        <v>6</v>
      </c>
      <c r="I106" s="91">
        <v>155809.56</v>
      </c>
      <c r="J106" s="149" cm="1">
        <f t="array" ref="J106">_xlfn.IFS(D106="INDUSTOWER","40",D106="RELIANCEIN","44",D106="SIEMENSLTD","120",D106="CLEANMAX","40",D106="AVAADA","40",D106="ARCHTECH","40")+G106</f>
        <v>46227</v>
      </c>
      <c r="K106" s="160">
        <v>46129</v>
      </c>
      <c r="L106" s="161">
        <f t="shared" si="35"/>
        <v>46247</v>
      </c>
      <c r="M106" s="83"/>
      <c r="N106" s="157">
        <f t="shared" si="21"/>
        <v>46107</v>
      </c>
      <c r="O106" s="157"/>
      <c r="P106" s="156"/>
      <c r="Q106" s="84"/>
      <c r="R106" s="84">
        <f t="shared" si="36"/>
        <v>140228.60399999999</v>
      </c>
      <c r="S106" s="92">
        <v>7.6999999999999999E-2</v>
      </c>
      <c r="T106" s="162">
        <f t="shared" si="32"/>
        <v>118</v>
      </c>
      <c r="U106" s="93">
        <f t="shared" si="33"/>
        <v>3491</v>
      </c>
      <c r="V106" s="85">
        <f t="shared" si="37"/>
        <v>136737.60399999999</v>
      </c>
      <c r="W106" s="86"/>
      <c r="X106" s="83"/>
      <c r="Y106" s="163"/>
      <c r="Z106" s="163"/>
      <c r="AA106" s="88"/>
      <c r="AB106" s="87"/>
      <c r="AC106" s="165" cm="1">
        <f t="array" ref="AC106">_xlfn.IFS(D106="INDUSTOWER","275000000",D106="RELIANCEIN","220000000",D106="SIEMENSLTD","83330000")-I106</f>
        <v>83174190.439999998</v>
      </c>
      <c r="AD106"/>
    </row>
    <row r="107" spans="1:30" x14ac:dyDescent="0.25">
      <c r="A107" s="158">
        <f>SUBTOTAL(3,B$3:B107)</f>
        <v>0</v>
      </c>
      <c r="B107" s="1">
        <f>SUBTOTAL(3,C$3:C107)</f>
        <v>105</v>
      </c>
      <c r="C107" s="83" t="s">
        <v>93</v>
      </c>
      <c r="D107" s="49" t="s">
        <v>96</v>
      </c>
      <c r="E107" s="49" t="s">
        <v>7</v>
      </c>
      <c r="F107" s="90" t="s">
        <v>344</v>
      </c>
      <c r="G107" s="159">
        <v>46111</v>
      </c>
      <c r="H107" s="34" t="s">
        <v>6</v>
      </c>
      <c r="I107" s="91">
        <v>1625674.2</v>
      </c>
      <c r="J107" s="149" cm="1">
        <f t="array" ref="J107">_xlfn.IFS(D107="INDUSTOWER","40",D107="RELIANCEIN","44",D107="SIEMENSLTD","120",D107="CLEANMAX","40",D107="AVAADA","40",D107="ARCHTECH","40")+G107</f>
        <v>46231</v>
      </c>
      <c r="K107" s="160">
        <v>46129</v>
      </c>
      <c r="L107" s="161">
        <f t="shared" ref="L107:L108" si="38">+J107+20</f>
        <v>46251</v>
      </c>
      <c r="M107" s="83"/>
      <c r="N107" s="157">
        <f t="shared" si="21"/>
        <v>46111</v>
      </c>
      <c r="O107" s="157"/>
      <c r="P107" s="156"/>
      <c r="Q107" s="84"/>
      <c r="R107" s="84">
        <f t="shared" ref="R107:R108" si="39">+I107*0.9</f>
        <v>1463106.78</v>
      </c>
      <c r="S107" s="92">
        <v>7.6999999999999999E-2</v>
      </c>
      <c r="T107" s="162">
        <f t="shared" si="32"/>
        <v>122</v>
      </c>
      <c r="U107" s="93">
        <f t="shared" si="33"/>
        <v>37656</v>
      </c>
      <c r="V107" s="85">
        <f t="shared" ref="V107:V108" si="40">+R107-U107</f>
        <v>1425450.78</v>
      </c>
      <c r="W107" s="86"/>
      <c r="X107" s="83"/>
      <c r="Y107" s="163"/>
      <c r="Z107" s="163"/>
      <c r="AA107" s="88"/>
      <c r="AB107" s="87"/>
      <c r="AC107" s="165" cm="1">
        <f t="array" ref="AC107">_xlfn.IFS(D107="INDUSTOWER","275000000",D107="RELIANCEIN","220000000",D107="SIEMENSLTD","83330000")-I107</f>
        <v>81704325.799999997</v>
      </c>
      <c r="AD107"/>
    </row>
    <row r="108" spans="1:30" x14ac:dyDescent="0.25">
      <c r="A108" s="158">
        <f>SUBTOTAL(3,B$3:B108)</f>
        <v>0</v>
      </c>
      <c r="B108" s="1">
        <f>SUBTOTAL(3,C$3:C108)</f>
        <v>106</v>
      </c>
      <c r="C108" s="83" t="s">
        <v>93</v>
      </c>
      <c r="D108" s="49" t="s">
        <v>96</v>
      </c>
      <c r="E108" s="49" t="s">
        <v>7</v>
      </c>
      <c r="F108" s="90" t="s">
        <v>345</v>
      </c>
      <c r="G108" s="159">
        <v>46111</v>
      </c>
      <c r="H108" s="34" t="s">
        <v>6</v>
      </c>
      <c r="I108" s="91">
        <v>1627034.74</v>
      </c>
      <c r="J108" s="149" cm="1">
        <f t="array" ref="J108">_xlfn.IFS(D108="INDUSTOWER","40",D108="RELIANCEIN","44",D108="SIEMENSLTD","120",D108="CLEANMAX","40",D108="AVAADA","40",D108="ARCHTECH","40")+G108</f>
        <v>46231</v>
      </c>
      <c r="K108" s="160">
        <v>46129</v>
      </c>
      <c r="L108" s="161">
        <f t="shared" si="38"/>
        <v>46251</v>
      </c>
      <c r="M108" s="83"/>
      <c r="N108" s="157">
        <f t="shared" si="21"/>
        <v>46111</v>
      </c>
      <c r="O108" s="157"/>
      <c r="P108" s="156"/>
      <c r="Q108" s="84"/>
      <c r="R108" s="84">
        <f t="shared" si="39"/>
        <v>1464331.2660000001</v>
      </c>
      <c r="S108" s="92">
        <v>7.6999999999999999E-2</v>
      </c>
      <c r="T108" s="162">
        <f t="shared" si="32"/>
        <v>122</v>
      </c>
      <c r="U108" s="93">
        <f t="shared" si="33"/>
        <v>37687</v>
      </c>
      <c r="V108" s="85">
        <f t="shared" si="40"/>
        <v>1426644.2660000001</v>
      </c>
      <c r="W108" s="86"/>
      <c r="X108" s="83"/>
      <c r="Y108" s="163"/>
      <c r="Z108" s="163"/>
      <c r="AA108" s="88"/>
      <c r="AB108" s="87"/>
      <c r="AC108" s="165" cm="1">
        <f t="array" ref="AC108">_xlfn.IFS(D108="INDUSTOWER","275000000",D108="RELIANCEIN","220000000",D108="SIEMENSLTD","83330000")-I108</f>
        <v>81702965.260000005</v>
      </c>
      <c r="AD108"/>
    </row>
    <row r="109" spans="1:30" x14ac:dyDescent="0.25">
      <c r="A109" s="158">
        <v>1</v>
      </c>
      <c r="B109" s="1">
        <f>SUBTOTAL(3,C$3:C109)</f>
        <v>107</v>
      </c>
      <c r="C109" s="83" t="s">
        <v>93</v>
      </c>
      <c r="D109" s="49" t="s">
        <v>96</v>
      </c>
      <c r="E109" s="49" t="s">
        <v>7</v>
      </c>
      <c r="F109" s="90" t="s">
        <v>205</v>
      </c>
      <c r="G109" s="159">
        <v>46129</v>
      </c>
      <c r="H109" s="34" t="s">
        <v>6</v>
      </c>
      <c r="I109" s="91">
        <v>5560.16</v>
      </c>
      <c r="J109" s="149" cm="1">
        <f t="array" ref="J109">_xlfn.IFS(D109="INDUSTOWER","40",D109="RELIANCEIN","44",D109="SIEMENSLTD","120",D109="CLEANMAX","40",D109="AVAADA","40",D109="ARCHTECH","40")+G109</f>
        <v>46249</v>
      </c>
      <c r="K109" s="160">
        <v>46135</v>
      </c>
      <c r="L109" s="161">
        <f t="shared" si="0"/>
        <v>46269</v>
      </c>
      <c r="M109" s="83">
        <v>91749</v>
      </c>
      <c r="N109" s="157">
        <f t="shared" si="21"/>
        <v>46129</v>
      </c>
      <c r="O109" s="157"/>
      <c r="P109" s="156"/>
      <c r="Q109" s="84" t="s">
        <v>140</v>
      </c>
      <c r="R109" s="84">
        <f t="shared" ref="R109:R110" si="41">+I109*0.9</f>
        <v>5004.1440000000002</v>
      </c>
      <c r="S109" s="92">
        <v>7.6999999999999999E-2</v>
      </c>
      <c r="T109" s="162">
        <f t="shared" si="32"/>
        <v>134</v>
      </c>
      <c r="U109" s="93">
        <f t="shared" si="33"/>
        <v>141</v>
      </c>
      <c r="V109" s="85">
        <f t="shared" si="23"/>
        <v>4863.1440000000002</v>
      </c>
      <c r="W109" s="86"/>
      <c r="X109" s="83"/>
      <c r="Y109" s="163"/>
      <c r="Z109" s="163"/>
      <c r="AA109" s="88"/>
      <c r="AB109" s="87"/>
      <c r="AC109" s="165" cm="1">
        <f t="array" ref="AC109">_xlfn.IFS(D109="INDUSTOWER","275000000",D109="RELIANCEIN","220000000",D109="SIEMENSLTD","83330000")-I109</f>
        <v>83324439.840000004</v>
      </c>
      <c r="AD109"/>
    </row>
    <row r="110" spans="1:30" x14ac:dyDescent="0.25">
      <c r="A110" s="158">
        <v>1</v>
      </c>
      <c r="B110" s="1">
        <f>SUBTOTAL(3,C$3:C110)</f>
        <v>108</v>
      </c>
      <c r="C110" s="83" t="s">
        <v>93</v>
      </c>
      <c r="D110" s="49" t="s">
        <v>96</v>
      </c>
      <c r="E110" s="49" t="s">
        <v>7</v>
      </c>
      <c r="F110" s="90" t="s">
        <v>206</v>
      </c>
      <c r="G110" s="159">
        <v>46133</v>
      </c>
      <c r="H110" s="34" t="s">
        <v>6</v>
      </c>
      <c r="I110" s="91">
        <v>357129.36</v>
      </c>
      <c r="J110" s="149" cm="1">
        <f t="array" ref="J110">_xlfn.IFS(D110="INDUSTOWER","40",D110="RELIANCEIN","44",D110="SIEMENSLTD","120",D110="CLEANMAX","40",D110="AVAADA","40",D110="ARCHTECH","40")+G110</f>
        <v>46253</v>
      </c>
      <c r="K110" s="160">
        <v>46135</v>
      </c>
      <c r="L110" s="161">
        <f t="shared" si="0"/>
        <v>46273</v>
      </c>
      <c r="M110" s="83" t="s">
        <v>207</v>
      </c>
      <c r="N110" s="157">
        <f t="shared" si="21"/>
        <v>46133</v>
      </c>
      <c r="O110" s="157"/>
      <c r="P110" s="156"/>
      <c r="Q110" s="84" t="s">
        <v>208</v>
      </c>
      <c r="R110" s="84">
        <f t="shared" si="41"/>
        <v>321416.424</v>
      </c>
      <c r="S110" s="92">
        <v>7.6999999999999999E-2</v>
      </c>
      <c r="T110" s="162">
        <f t="shared" ref="T110" si="42">+J110-K110+20</f>
        <v>138</v>
      </c>
      <c r="U110" s="93">
        <f t="shared" si="22"/>
        <v>9357</v>
      </c>
      <c r="V110" s="85">
        <f t="shared" si="23"/>
        <v>312059.424</v>
      </c>
      <c r="W110" s="86"/>
      <c r="X110" s="83"/>
      <c r="Y110" s="163"/>
      <c r="Z110" s="163"/>
      <c r="AA110" s="88"/>
      <c r="AB110" s="87"/>
      <c r="AC110" s="165" cm="1">
        <f t="array" ref="AC110">_xlfn.IFS(D110="INDUSTOWER","275000000",D110="RELIANCEIN","220000000",D110="SIEMENSLTD","83330000")-I110</f>
        <v>82972870.640000001</v>
      </c>
      <c r="AD110"/>
    </row>
    <row r="111" spans="1:30" x14ac:dyDescent="0.25">
      <c r="A111" s="158">
        <v>1</v>
      </c>
      <c r="B111" s="1">
        <f>SUBTOTAL(3,C$3:C111)</f>
        <v>109</v>
      </c>
      <c r="C111" s="83" t="s">
        <v>93</v>
      </c>
      <c r="D111" s="49" t="s">
        <v>96</v>
      </c>
      <c r="E111" s="49" t="s">
        <v>7</v>
      </c>
      <c r="F111" s="90" t="s">
        <v>209</v>
      </c>
      <c r="G111" s="159">
        <v>46133</v>
      </c>
      <c r="H111" s="34" t="s">
        <v>6</v>
      </c>
      <c r="I111" s="91">
        <v>418134.18</v>
      </c>
      <c r="J111" s="149" cm="1">
        <f t="array" ref="J111">_xlfn.IFS(D111="INDUSTOWER","40",D111="RELIANCEIN","44",D111="SIEMENSLTD","120",D111="CLEANMAX","40",D111="AVAADA","40",D111="ARCHTECH","40")+G111</f>
        <v>46253</v>
      </c>
      <c r="K111" s="160">
        <v>46135</v>
      </c>
      <c r="L111" s="161">
        <f t="shared" ref="L111:L115" si="43">+J111+20</f>
        <v>46273</v>
      </c>
      <c r="M111" s="83" t="s">
        <v>210</v>
      </c>
      <c r="N111" s="157">
        <f t="shared" si="21"/>
        <v>46133</v>
      </c>
      <c r="O111" s="157"/>
      <c r="P111" s="156"/>
      <c r="Q111" s="84" t="s">
        <v>211</v>
      </c>
      <c r="R111" s="84">
        <f t="shared" ref="R111:R117" si="44">+I111*0.9</f>
        <v>376320.76199999999</v>
      </c>
      <c r="S111" s="92">
        <v>7.6999999999999999E-2</v>
      </c>
      <c r="T111" s="162">
        <f>+J111-K111+20</f>
        <v>138</v>
      </c>
      <c r="U111" s="93">
        <f>ROUND(+R111*S111*T111/365,0)</f>
        <v>10956</v>
      </c>
      <c r="V111" s="85">
        <f>+R111-U111</f>
        <v>365364.76199999999</v>
      </c>
      <c r="W111" s="86"/>
      <c r="X111" s="83"/>
      <c r="Y111" s="163"/>
      <c r="Z111" s="163"/>
      <c r="AA111" s="88"/>
      <c r="AB111" s="87"/>
      <c r="AC111" s="165" cm="1">
        <f t="array" ref="AC111">_xlfn.IFS(D111="INDUSTOWER","275000000",D111="RELIANCEIN","220000000",D111="SIEMENSLTD","83330000")-I111</f>
        <v>82911865.819999993</v>
      </c>
      <c r="AD111"/>
    </row>
    <row r="112" spans="1:30" x14ac:dyDescent="0.25">
      <c r="A112" s="158">
        <v>1</v>
      </c>
      <c r="B112" s="1">
        <f>SUBTOTAL(3,C$3:C112)</f>
        <v>110</v>
      </c>
      <c r="C112" s="83" t="s">
        <v>93</v>
      </c>
      <c r="D112" s="49" t="s">
        <v>96</v>
      </c>
      <c r="E112" s="49" t="s">
        <v>7</v>
      </c>
      <c r="F112" s="90" t="s">
        <v>212</v>
      </c>
      <c r="G112" s="159">
        <v>46133</v>
      </c>
      <c r="H112" s="34" t="s">
        <v>6</v>
      </c>
      <c r="I112" s="91">
        <v>479139</v>
      </c>
      <c r="J112" s="149" cm="1">
        <f t="array" ref="J112">_xlfn.IFS(D112="INDUSTOWER","40",D112="RELIANCEIN","44",D112="SIEMENSLTD","120",D112="CLEANMAX","40",D112="AVAADA","40",D112="ARCHTECH","40")+G112</f>
        <v>46253</v>
      </c>
      <c r="K112" s="160">
        <v>46135</v>
      </c>
      <c r="L112" s="161">
        <f t="shared" si="43"/>
        <v>46273</v>
      </c>
      <c r="M112" s="83" t="s">
        <v>213</v>
      </c>
      <c r="N112" s="157">
        <f t="shared" si="21"/>
        <v>46133</v>
      </c>
      <c r="O112" s="157"/>
      <c r="P112" s="156"/>
      <c r="Q112" s="84" t="s">
        <v>214</v>
      </c>
      <c r="R112" s="84">
        <f t="shared" si="44"/>
        <v>431225.10000000003</v>
      </c>
      <c r="S112" s="92">
        <v>7.6999999999999999E-2</v>
      </c>
      <c r="T112" s="162">
        <f>+J112-K112+20</f>
        <v>138</v>
      </c>
      <c r="U112" s="93">
        <f>ROUND(+R112*S112*T112/365,0)</f>
        <v>12554</v>
      </c>
      <c r="V112" s="85">
        <f>+R112-U112</f>
        <v>418671.10000000003</v>
      </c>
      <c r="W112" s="86"/>
      <c r="X112" s="83"/>
      <c r="Y112" s="163"/>
      <c r="Z112" s="163"/>
      <c r="AA112" s="88"/>
      <c r="AB112" s="87"/>
      <c r="AC112" s="165" cm="1">
        <f t="array" ref="AC112">_xlfn.IFS(D112="INDUSTOWER","275000000",D112="RELIANCEIN","220000000",D112="SIEMENSLTD","83330000")-I112</f>
        <v>82850861</v>
      </c>
      <c r="AD112"/>
    </row>
    <row r="113" spans="1:30" ht="15.75" thickBot="1" x14ac:dyDescent="0.3">
      <c r="A113" s="158">
        <v>1</v>
      </c>
      <c r="B113" s="1">
        <f>SUBTOTAL(3,C$3:C113)</f>
        <v>111</v>
      </c>
      <c r="C113" s="83" t="s">
        <v>93</v>
      </c>
      <c r="D113" s="49" t="s">
        <v>96</v>
      </c>
      <c r="E113" s="49" t="s">
        <v>7</v>
      </c>
      <c r="F113" s="90" t="s">
        <v>215</v>
      </c>
      <c r="G113" s="159">
        <v>46133</v>
      </c>
      <c r="H113" s="34" t="s">
        <v>6</v>
      </c>
      <c r="I113" s="91">
        <v>692866.5</v>
      </c>
      <c r="J113" s="149" cm="1">
        <f t="array" ref="J113">_xlfn.IFS(D113="INDUSTOWER","40",D113="RELIANCEIN","44",D113="SIEMENSLTD","120",D113="CLEANMAX","40",D113="AVAADA","40",D113="ARCHTECH","40")+G113</f>
        <v>46253</v>
      </c>
      <c r="K113" s="160">
        <v>46135</v>
      </c>
      <c r="L113" s="161">
        <f t="shared" si="43"/>
        <v>46273</v>
      </c>
      <c r="M113" s="83" t="s">
        <v>216</v>
      </c>
      <c r="N113" s="157">
        <f t="shared" si="21"/>
        <v>46133</v>
      </c>
      <c r="O113" s="157"/>
      <c r="P113" s="156"/>
      <c r="Q113" s="84" t="s">
        <v>217</v>
      </c>
      <c r="R113" s="84">
        <f t="shared" si="44"/>
        <v>623579.85</v>
      </c>
      <c r="S113" s="92">
        <v>7.6999999999999999E-2</v>
      </c>
      <c r="T113" s="162">
        <f>+J113-K113+20</f>
        <v>138</v>
      </c>
      <c r="U113" s="93">
        <f>ROUND(+R113*S113*T113/365,0)</f>
        <v>18154</v>
      </c>
      <c r="V113" s="85">
        <f>+R113-U113</f>
        <v>605425.85</v>
      </c>
      <c r="W113" s="86"/>
      <c r="X113" s="83"/>
      <c r="Y113" s="163"/>
      <c r="Z113" s="163"/>
      <c r="AA113" s="88"/>
      <c r="AB113" s="87"/>
      <c r="AC113" s="165" cm="1">
        <f t="array" ref="AC113">_xlfn.IFS(D113="INDUSTOWER","275000000",D113="RELIANCEIN","220000000",D113="SIEMENSLTD","83330000")-I113</f>
        <v>82637133.5</v>
      </c>
      <c r="AD113"/>
    </row>
    <row r="114" spans="1:30" ht="16.5" thickTop="1" thickBot="1" x14ac:dyDescent="0.3">
      <c r="A114" s="344">
        <v>2</v>
      </c>
      <c r="B114" s="344">
        <f>SUBTOTAL(3,C$3:C114)</f>
        <v>112</v>
      </c>
      <c r="C114" s="344" t="s">
        <v>93</v>
      </c>
      <c r="D114" s="345" t="s">
        <v>96</v>
      </c>
      <c r="E114" s="345" t="s">
        <v>7</v>
      </c>
      <c r="F114" s="346" t="s">
        <v>218</v>
      </c>
      <c r="G114" s="347">
        <v>46134</v>
      </c>
      <c r="H114" s="345" t="s">
        <v>6</v>
      </c>
      <c r="I114" s="348">
        <v>155809.56</v>
      </c>
      <c r="J114" s="349" cm="1">
        <f t="array" ref="J114">_xlfn.IFS(D114="INDUSTOWER","40",D114="RELIANCEIN","44",D114="SIEMENSLTD","120",D114="CLEANMAX","40",D114="AVAADA","40",D114="ARCHTECH","40")+G114</f>
        <v>46254</v>
      </c>
      <c r="K114" s="350">
        <v>46135</v>
      </c>
      <c r="L114" s="349">
        <f t="shared" si="43"/>
        <v>46274</v>
      </c>
      <c r="M114" s="344" t="s">
        <v>219</v>
      </c>
      <c r="N114" s="351">
        <f t="shared" si="21"/>
        <v>46134</v>
      </c>
      <c r="O114" s="351"/>
      <c r="P114" s="352"/>
      <c r="Q114" s="353" t="s">
        <v>141</v>
      </c>
      <c r="R114" s="353">
        <f t="shared" si="44"/>
        <v>140228.60399999999</v>
      </c>
      <c r="S114" s="354">
        <v>7.6999999999999999E-2</v>
      </c>
      <c r="T114" s="355">
        <f>+J114-K114+20</f>
        <v>139</v>
      </c>
      <c r="U114" s="353">
        <f>ROUND(+R114*S114*T114/365,0)</f>
        <v>4112</v>
      </c>
      <c r="V114" s="353">
        <f>+R114-U114</f>
        <v>136116.60399999999</v>
      </c>
      <c r="W114" s="356"/>
      <c r="X114" s="344"/>
      <c r="Y114" s="353"/>
      <c r="Z114" s="353"/>
      <c r="AA114" s="357"/>
      <c r="AB114" s="353"/>
      <c r="AC114" s="358" cm="1">
        <f t="array" ref="AC114">_xlfn.IFS(D114="INDUSTOWER","275000000",D114="RELIANCEIN","220000000",D114="SIEMENSLTD","83330000")-I114</f>
        <v>83174190.439999998</v>
      </c>
      <c r="AD114"/>
    </row>
    <row r="115" spans="1:30" ht="15.75" thickTop="1" x14ac:dyDescent="0.25">
      <c r="A115" s="164">
        <v>2</v>
      </c>
      <c r="B115" s="1">
        <f>SUBTOTAL(3,C$3:C115)</f>
        <v>113</v>
      </c>
      <c r="C115" s="83" t="s">
        <v>93</v>
      </c>
      <c r="D115" s="49" t="s">
        <v>96</v>
      </c>
      <c r="E115" s="49" t="s">
        <v>7</v>
      </c>
      <c r="F115" s="90" t="s">
        <v>220</v>
      </c>
      <c r="G115" s="159">
        <v>46134</v>
      </c>
      <c r="H115" s="34" t="s">
        <v>6</v>
      </c>
      <c r="I115" s="91">
        <v>230361.96</v>
      </c>
      <c r="J115" s="149" cm="1">
        <f t="array" ref="J115">_xlfn.IFS(D115="INDUSTOWER","40",D115="RELIANCEIN","44",D115="SIEMENSLTD","120",D115="CLEANMAX","40",D115="AVAADA","40",D115="ARCHTECH","40")+G115</f>
        <v>46254</v>
      </c>
      <c r="K115" s="160">
        <v>46135</v>
      </c>
      <c r="L115" s="161">
        <f t="shared" si="43"/>
        <v>46274</v>
      </c>
      <c r="M115" s="83" t="s">
        <v>221</v>
      </c>
      <c r="N115" s="157">
        <f t="shared" si="21"/>
        <v>46134</v>
      </c>
      <c r="O115" s="157"/>
      <c r="P115" s="156"/>
      <c r="Q115" s="84" t="s">
        <v>141</v>
      </c>
      <c r="R115" s="84">
        <f t="shared" si="44"/>
        <v>207325.764</v>
      </c>
      <c r="S115" s="92">
        <v>7.6999999999999999E-2</v>
      </c>
      <c r="T115" s="162">
        <f>+J115-K115+20</f>
        <v>139</v>
      </c>
      <c r="U115" s="93">
        <f>ROUND(+R115*S115*T115/365,0)</f>
        <v>6079</v>
      </c>
      <c r="V115" s="85">
        <f>+R115-U115</f>
        <v>201246.764</v>
      </c>
      <c r="W115" s="86"/>
      <c r="X115" s="83"/>
      <c r="Y115" s="163"/>
      <c r="Z115" s="163"/>
      <c r="AA115" s="88"/>
      <c r="AB115" s="87"/>
      <c r="AC115" s="165" cm="1">
        <f t="array" ref="AC115">_xlfn.IFS(D115="INDUSTOWER","275000000",D115="RELIANCEIN","220000000",D115="SIEMENSLTD","83330000")-I115</f>
        <v>83099638.040000007</v>
      </c>
      <c r="AD115"/>
    </row>
    <row r="116" spans="1:30" x14ac:dyDescent="0.25">
      <c r="A116" s="164">
        <v>3</v>
      </c>
      <c r="B116" s="1">
        <f>SUBTOTAL(3,C$3:C116)</f>
        <v>114</v>
      </c>
      <c r="C116" s="83" t="s">
        <v>93</v>
      </c>
      <c r="D116" s="49" t="s">
        <v>96</v>
      </c>
      <c r="E116" s="49" t="s">
        <v>7</v>
      </c>
      <c r="F116" s="90" t="s">
        <v>361</v>
      </c>
      <c r="G116" s="159">
        <v>46135</v>
      </c>
      <c r="H116" s="34" t="s">
        <v>6</v>
      </c>
      <c r="I116" s="91">
        <v>129841.3</v>
      </c>
      <c r="J116" s="206" cm="1">
        <f t="array" ref="J116">_xlfn.IFS(D116="INDUSTOWER","40",D116="RELIANCEIN","44",D116="SIEMENSLTD","120",D116="CLEANMAX","40",D116="AVAADA","40",D116="ARCHTECH","40")+G116</f>
        <v>46255</v>
      </c>
      <c r="K116" s="160">
        <v>46135</v>
      </c>
      <c r="L116" s="161">
        <f>+J116+20</f>
        <v>46275</v>
      </c>
      <c r="M116" s="83" t="s">
        <v>219</v>
      </c>
      <c r="N116" s="157">
        <f>+G116</f>
        <v>46135</v>
      </c>
      <c r="O116" s="157"/>
      <c r="P116" s="156"/>
      <c r="Q116" s="84" t="s">
        <v>141</v>
      </c>
      <c r="R116" s="84">
        <f t="shared" si="44"/>
        <v>116857.17</v>
      </c>
      <c r="S116" s="92">
        <v>7.6999999999999999E-2</v>
      </c>
      <c r="T116" s="162">
        <f t="shared" ref="T116:T117" si="45">+J116-K116+20</f>
        <v>140</v>
      </c>
      <c r="U116" s="93">
        <f t="shared" ref="U116:U117" si="46">ROUND(+R116*S116*T116/365,0)</f>
        <v>3451</v>
      </c>
      <c r="V116" s="85">
        <f t="shared" ref="V116:V117" si="47">+R116-U116</f>
        <v>113406.17</v>
      </c>
      <c r="W116" s="86"/>
      <c r="X116" s="83"/>
      <c r="Y116" s="163"/>
      <c r="Z116" s="163"/>
      <c r="AA116" s="88"/>
      <c r="AB116" s="87"/>
      <c r="AC116" s="207" cm="1">
        <f t="array" ref="AC116">_xlfn.IFS(D116="INDUSTOWER","275000000",D116="RELIANCEIN","220000000",D116="SIEMENSLTD","83330000")-I116</f>
        <v>83200158.700000003</v>
      </c>
      <c r="AD116"/>
    </row>
    <row r="117" spans="1:30" x14ac:dyDescent="0.25">
      <c r="A117" s="164">
        <v>3</v>
      </c>
      <c r="B117" s="6">
        <f>SUBTOTAL(3,C$3:C259)</f>
        <v>257</v>
      </c>
      <c r="C117" s="83" t="s">
        <v>93</v>
      </c>
      <c r="D117" s="49" t="s">
        <v>96</v>
      </c>
      <c r="E117" s="49" t="s">
        <v>7</v>
      </c>
      <c r="F117" s="90" t="s">
        <v>362</v>
      </c>
      <c r="G117" s="159">
        <v>46135</v>
      </c>
      <c r="H117" s="34" t="s">
        <v>6</v>
      </c>
      <c r="I117" s="91">
        <v>150509</v>
      </c>
      <c r="J117" s="206" cm="1">
        <f t="array" ref="J117">_xlfn.IFS(D117="INDUSTOWER","40",D117="RELIANCEIN","44",D117="SIEMENSLTD","120",D117="CLEANMAX","40",D117="AVAADA","40",D117="ARCHTECH","40")+G117</f>
        <v>46255</v>
      </c>
      <c r="K117" s="160">
        <v>46135</v>
      </c>
      <c r="L117" s="161">
        <f>+J117+20</f>
        <v>46275</v>
      </c>
      <c r="M117" s="83" t="s">
        <v>363</v>
      </c>
      <c r="N117" s="157">
        <f>+G117</f>
        <v>46135</v>
      </c>
      <c r="O117" s="157"/>
      <c r="P117" s="156"/>
      <c r="Q117" s="84" t="s">
        <v>141</v>
      </c>
      <c r="R117" s="84">
        <f t="shared" si="44"/>
        <v>135458.1</v>
      </c>
      <c r="S117" s="92">
        <v>7.6999999999999999E-2</v>
      </c>
      <c r="T117" s="162">
        <f t="shared" si="45"/>
        <v>140</v>
      </c>
      <c r="U117" s="93">
        <f t="shared" si="46"/>
        <v>4001</v>
      </c>
      <c r="V117" s="85">
        <f t="shared" si="47"/>
        <v>131457.1</v>
      </c>
      <c r="W117" s="86"/>
      <c r="X117" s="83"/>
      <c r="Y117" s="163"/>
      <c r="Z117" s="163"/>
      <c r="AA117" s="88"/>
      <c r="AB117" s="87"/>
      <c r="AC117" s="207" cm="1">
        <f t="array" ref="AC117">_xlfn.IFS(D117="INDUSTOWER","275000000",D117="RELIANCEIN","220000000",D117="SIEMENSLTD","83330000")-I117</f>
        <v>83179491</v>
      </c>
      <c r="AD117"/>
    </row>
    <row r="118" spans="1:30" x14ac:dyDescent="0.25">
      <c r="A118" s="158">
        <f>SUBTOTAL(3,B$3:B118)</f>
        <v>0</v>
      </c>
      <c r="B118" s="1">
        <f>SUBTOTAL(3,C$3:C118)</f>
        <v>116</v>
      </c>
      <c r="C118" s="83" t="s">
        <v>93</v>
      </c>
      <c r="D118" s="49" t="s">
        <v>453</v>
      </c>
      <c r="E118" s="49" t="s">
        <v>7</v>
      </c>
      <c r="F118" s="90" t="s">
        <v>444</v>
      </c>
      <c r="G118" s="159">
        <v>46111</v>
      </c>
      <c r="H118" s="34" t="s">
        <v>6</v>
      </c>
      <c r="I118" s="91">
        <v>42420120.899999999</v>
      </c>
      <c r="J118" s="206" cm="1">
        <f t="array" ref="J118">_xlfn.IFS(D118="INDUSTOWER","40",D118="RELIANCEIN","44",D118="SIEMENSLTD","120",D118="CLEANMAX","40",D118="AVAADA","40",D118="ARCHTECH","40")+G118</f>
        <v>46151</v>
      </c>
      <c r="K118" s="267">
        <f t="shared" ref="K118:K181" ca="1" si="48">TODAY()</f>
        <v>46148</v>
      </c>
      <c r="L118" s="161">
        <f t="shared" ref="L118:L154" si="49">+J118+20</f>
        <v>46171</v>
      </c>
      <c r="M118" s="83" t="s">
        <v>92</v>
      </c>
      <c r="N118" s="157">
        <f t="shared" ref="N118:N154" si="50">+G118</f>
        <v>46111</v>
      </c>
      <c r="O118" s="148"/>
      <c r="P118" s="269"/>
      <c r="Q118" s="270" t="s">
        <v>461</v>
      </c>
      <c r="R118" s="84">
        <f t="shared" ref="R118:R154" si="51">+I118*0.9</f>
        <v>38178108.810000002</v>
      </c>
      <c r="S118" s="92">
        <v>7.6999999999999999E-2</v>
      </c>
      <c r="T118" s="162">
        <f t="shared" ref="T118:T154" ca="1" si="52">+J118-K118+20</f>
        <v>23</v>
      </c>
      <c r="U118" s="93">
        <f t="shared" ref="U118:U154" ca="1" si="53">ROUND(+R118*S118*T118/365,0)</f>
        <v>185242</v>
      </c>
      <c r="V118" s="85">
        <f t="shared" ref="V118:V154" ca="1" si="54">+R118-U118</f>
        <v>37992866.810000002</v>
      </c>
      <c r="W118" s="17"/>
      <c r="X118" s="6"/>
      <c r="Y118" s="94"/>
      <c r="Z118" s="94"/>
      <c r="AA118" s="20"/>
      <c r="AB118" s="19"/>
      <c r="AC118" s="16" t="e" cm="1">
        <f t="array" ref="AC118">_xlfn.IFS(D118="INDUSTOWER","275000000",D118="RELIANCEIN","220000000",D118="SIEMENSLTD","83330000")-I118</f>
        <v>#N/A</v>
      </c>
      <c r="AD118"/>
    </row>
    <row r="119" spans="1:30" x14ac:dyDescent="0.25">
      <c r="A119" s="158">
        <f>SUBTOTAL(3,B$3:B119)</f>
        <v>0</v>
      </c>
      <c r="B119" s="1">
        <f>SUBTOTAL(3,C$3:C119)</f>
        <v>117</v>
      </c>
      <c r="C119" s="83" t="s">
        <v>93</v>
      </c>
      <c r="D119" s="210" t="s">
        <v>453</v>
      </c>
      <c r="E119" s="49" t="s">
        <v>7</v>
      </c>
      <c r="F119" s="211" t="s">
        <v>445</v>
      </c>
      <c r="G119" s="212">
        <v>46111</v>
      </c>
      <c r="H119" s="34" t="s">
        <v>6</v>
      </c>
      <c r="I119" s="214">
        <v>6290155.2000000002</v>
      </c>
      <c r="J119" s="161" cm="1">
        <f t="array" ref="J119">_xlfn.IFS(D119="INDUSTOWER","40",D119="RELIANCEIN","44",D119="SIEMENSLTD","120",D119="CLEANMAX","40",D119="AVAADA","40",D119="ARCHTECH","40")+G119</f>
        <v>46151</v>
      </c>
      <c r="K119" s="268">
        <f t="shared" ca="1" si="48"/>
        <v>46148</v>
      </c>
      <c r="L119" s="161">
        <f t="shared" si="49"/>
        <v>46171</v>
      </c>
      <c r="M119" s="209" t="s">
        <v>91</v>
      </c>
      <c r="N119" s="216">
        <f t="shared" si="50"/>
        <v>46111</v>
      </c>
      <c r="O119" s="148"/>
      <c r="P119" s="269"/>
      <c r="Q119" s="270" t="s">
        <v>459</v>
      </c>
      <c r="R119" s="84">
        <f t="shared" si="51"/>
        <v>5661139.6800000006</v>
      </c>
      <c r="S119" s="92">
        <v>7.6999999999999999E-2</v>
      </c>
      <c r="T119" s="162">
        <f t="shared" ca="1" si="52"/>
        <v>23</v>
      </c>
      <c r="U119" s="85">
        <f t="shared" ca="1" si="53"/>
        <v>27468</v>
      </c>
      <c r="V119" s="85">
        <f t="shared" ca="1" si="54"/>
        <v>5633671.6800000006</v>
      </c>
      <c r="W119" s="17"/>
      <c r="X119" s="6"/>
      <c r="Y119" s="94"/>
      <c r="Z119" s="94"/>
      <c r="AA119" s="20"/>
      <c r="AB119" s="19"/>
      <c r="AC119" s="16" t="e" cm="1">
        <f t="array" ref="AC119">_xlfn.IFS(D119="INDUSTOWER","275000000",D119="RELIANCEIN","220000000",D119="SIEMENSLTD","83330000")-I119</f>
        <v>#N/A</v>
      </c>
      <c r="AD119"/>
    </row>
    <row r="120" spans="1:30" x14ac:dyDescent="0.25">
      <c r="A120" s="158">
        <f>SUBTOTAL(3,B$3:B120)</f>
        <v>0</v>
      </c>
      <c r="B120" s="1">
        <f>SUBTOTAL(3,C$3:C120)</f>
        <v>118</v>
      </c>
      <c r="C120" s="83" t="s">
        <v>93</v>
      </c>
      <c r="D120" s="210" t="s">
        <v>453</v>
      </c>
      <c r="E120" s="49" t="s">
        <v>7</v>
      </c>
      <c r="F120" s="211" t="s">
        <v>446</v>
      </c>
      <c r="G120" s="212">
        <v>46117</v>
      </c>
      <c r="H120" s="34" t="s">
        <v>6</v>
      </c>
      <c r="I120" s="214">
        <v>1162743.68</v>
      </c>
      <c r="J120" s="161" cm="1">
        <f t="array" ref="J120">_xlfn.IFS(D120="INDUSTOWER","40",D120="RELIANCEIN","44",D120="SIEMENSLTD","120",D120="CLEANMAX","40",D120="AVAADA","40",D120="ARCHTECH","40")+G120</f>
        <v>46157</v>
      </c>
      <c r="K120" s="268">
        <f t="shared" ca="1" si="48"/>
        <v>46148</v>
      </c>
      <c r="L120" s="161">
        <f t="shared" si="49"/>
        <v>46177</v>
      </c>
      <c r="M120" s="209" t="s">
        <v>454</v>
      </c>
      <c r="N120" s="216">
        <f t="shared" si="50"/>
        <v>46117</v>
      </c>
      <c r="O120" s="148"/>
      <c r="P120" s="269"/>
      <c r="Q120" s="270" t="s">
        <v>460</v>
      </c>
      <c r="R120" s="84">
        <f t="shared" si="51"/>
        <v>1046469.3119999999</v>
      </c>
      <c r="S120" s="92">
        <v>7.6999999999999999E-2</v>
      </c>
      <c r="T120" s="162">
        <f t="shared" ca="1" si="52"/>
        <v>29</v>
      </c>
      <c r="U120" s="85">
        <f t="shared" ca="1" si="53"/>
        <v>6402</v>
      </c>
      <c r="V120" s="85">
        <f t="shared" ca="1" si="54"/>
        <v>1040067.3119999999</v>
      </c>
      <c r="W120" s="17"/>
      <c r="X120" s="6"/>
      <c r="Y120" s="94"/>
      <c r="Z120" s="94"/>
      <c r="AA120" s="20"/>
      <c r="AB120" s="19"/>
      <c r="AC120" s="16" t="e" cm="1">
        <f t="array" ref="AC120">_xlfn.IFS(D120="INDUSTOWER","275000000",D120="RELIANCEIN","220000000",D120="SIEMENSLTD","83330000")-I120</f>
        <v>#N/A</v>
      </c>
      <c r="AD120"/>
    </row>
    <row r="121" spans="1:30" x14ac:dyDescent="0.25">
      <c r="A121" s="158">
        <f>SUBTOTAL(3,B$3:B121)</f>
        <v>0</v>
      </c>
      <c r="B121" s="1">
        <f>SUBTOTAL(3,C$3:C121)</f>
        <v>119</v>
      </c>
      <c r="C121" s="83" t="s">
        <v>93</v>
      </c>
      <c r="D121" s="210" t="s">
        <v>453</v>
      </c>
      <c r="E121" s="49" t="s">
        <v>7</v>
      </c>
      <c r="F121" s="211" t="s">
        <v>447</v>
      </c>
      <c r="G121" s="212">
        <v>46117</v>
      </c>
      <c r="H121" s="34" t="s">
        <v>6</v>
      </c>
      <c r="I121" s="214">
        <v>1162743.68</v>
      </c>
      <c r="J121" s="161" cm="1">
        <f t="array" ref="J121">_xlfn.IFS(D121="INDUSTOWER","40",D121="RELIANCEIN","44",D121="SIEMENSLTD","120",D121="CLEANMAX","40",D121="AVAADA","40",D121="ARCHTECH","40")+G121</f>
        <v>46157</v>
      </c>
      <c r="K121" s="268">
        <f t="shared" ca="1" si="48"/>
        <v>46148</v>
      </c>
      <c r="L121" s="161">
        <f t="shared" si="49"/>
        <v>46177</v>
      </c>
      <c r="M121" s="209" t="s">
        <v>455</v>
      </c>
      <c r="N121" s="216">
        <f t="shared" si="50"/>
        <v>46117</v>
      </c>
      <c r="O121" s="148"/>
      <c r="P121" s="269"/>
      <c r="Q121" s="270" t="s">
        <v>460</v>
      </c>
      <c r="R121" s="84">
        <f t="shared" si="51"/>
        <v>1046469.3119999999</v>
      </c>
      <c r="S121" s="92">
        <v>7.6999999999999999E-2</v>
      </c>
      <c r="T121" s="162">
        <f t="shared" ca="1" si="52"/>
        <v>29</v>
      </c>
      <c r="U121" s="85">
        <f t="shared" ca="1" si="53"/>
        <v>6402</v>
      </c>
      <c r="V121" s="85">
        <f t="shared" ca="1" si="54"/>
        <v>1040067.3119999999</v>
      </c>
      <c r="W121" s="17"/>
      <c r="X121" s="6"/>
      <c r="Y121" s="94"/>
      <c r="Z121" s="94"/>
      <c r="AA121" s="20"/>
      <c r="AB121" s="19"/>
      <c r="AC121" s="16" t="e" cm="1">
        <f t="array" ref="AC121">_xlfn.IFS(D121="INDUSTOWER","275000000",D121="RELIANCEIN","220000000",D121="SIEMENSLTD","83330000")-I121</f>
        <v>#N/A</v>
      </c>
      <c r="AD121"/>
    </row>
    <row r="122" spans="1:30" x14ac:dyDescent="0.25">
      <c r="A122" s="158">
        <f>SUBTOTAL(3,B$3:B122)</f>
        <v>0</v>
      </c>
      <c r="B122" s="1">
        <f>SUBTOTAL(3,C$3:C122)</f>
        <v>120</v>
      </c>
      <c r="C122" s="83" t="s">
        <v>93</v>
      </c>
      <c r="D122" s="210" t="s">
        <v>453</v>
      </c>
      <c r="E122" s="49" t="s">
        <v>7</v>
      </c>
      <c r="F122" s="211" t="s">
        <v>448</v>
      </c>
      <c r="G122" s="212">
        <v>46118</v>
      </c>
      <c r="H122" s="34" t="s">
        <v>6</v>
      </c>
      <c r="I122" s="214">
        <v>1162743.68</v>
      </c>
      <c r="J122" s="161" cm="1">
        <f t="array" ref="J122">_xlfn.IFS(D122="INDUSTOWER","40",D122="RELIANCEIN","44",D122="SIEMENSLTD","120",D122="CLEANMAX","40",D122="AVAADA","40",D122="ARCHTECH","40")+G122</f>
        <v>46158</v>
      </c>
      <c r="K122" s="268">
        <f t="shared" ca="1" si="48"/>
        <v>46148</v>
      </c>
      <c r="L122" s="161">
        <f t="shared" si="49"/>
        <v>46178</v>
      </c>
      <c r="M122" s="209" t="s">
        <v>456</v>
      </c>
      <c r="N122" s="216">
        <f t="shared" si="50"/>
        <v>46118</v>
      </c>
      <c r="O122" s="148"/>
      <c r="P122" s="269"/>
      <c r="Q122" s="270" t="s">
        <v>460</v>
      </c>
      <c r="R122" s="84">
        <f t="shared" si="51"/>
        <v>1046469.3119999999</v>
      </c>
      <c r="S122" s="92">
        <v>7.6999999999999999E-2</v>
      </c>
      <c r="T122" s="162">
        <f t="shared" ca="1" si="52"/>
        <v>30</v>
      </c>
      <c r="U122" s="85">
        <f t="shared" ca="1" si="53"/>
        <v>6623</v>
      </c>
      <c r="V122" s="85">
        <f t="shared" ca="1" si="54"/>
        <v>1039846.3119999999</v>
      </c>
      <c r="W122" s="17"/>
      <c r="X122" s="6"/>
      <c r="Y122" s="94"/>
      <c r="Z122" s="94"/>
      <c r="AA122" s="20"/>
      <c r="AB122" s="19"/>
      <c r="AC122" s="16" t="e" cm="1">
        <f t="array" ref="AC122">_xlfn.IFS(D122="INDUSTOWER","275000000",D122="RELIANCEIN","220000000",D122="SIEMENSLTD","83330000")-I122</f>
        <v>#N/A</v>
      </c>
      <c r="AD122"/>
    </row>
    <row r="123" spans="1:30" x14ac:dyDescent="0.25">
      <c r="A123" s="158">
        <f>SUBTOTAL(3,B$3:B123)</f>
        <v>0</v>
      </c>
      <c r="B123" s="1">
        <f>SUBTOTAL(3,C$3:C123)</f>
        <v>121</v>
      </c>
      <c r="C123" s="83" t="s">
        <v>93</v>
      </c>
      <c r="D123" s="210" t="s">
        <v>453</v>
      </c>
      <c r="E123" s="49" t="s">
        <v>7</v>
      </c>
      <c r="F123" s="211" t="s">
        <v>449</v>
      </c>
      <c r="G123" s="212">
        <v>46118</v>
      </c>
      <c r="H123" s="34" t="s">
        <v>6</v>
      </c>
      <c r="I123" s="214">
        <v>1162743.68</v>
      </c>
      <c r="J123" s="161" cm="1">
        <f t="array" ref="J123">_xlfn.IFS(D123="INDUSTOWER","40",D123="RELIANCEIN","44",D123="SIEMENSLTD","120",D123="CLEANMAX","40",D123="AVAADA","40",D123="ARCHTECH","40")+G123</f>
        <v>46158</v>
      </c>
      <c r="K123" s="268">
        <f t="shared" ca="1" si="48"/>
        <v>46148</v>
      </c>
      <c r="L123" s="161">
        <f t="shared" si="49"/>
        <v>46178</v>
      </c>
      <c r="M123" s="209" t="s">
        <v>457</v>
      </c>
      <c r="N123" s="216">
        <f t="shared" si="50"/>
        <v>46118</v>
      </c>
      <c r="O123" s="148"/>
      <c r="P123" s="269"/>
      <c r="Q123" s="270" t="s">
        <v>460</v>
      </c>
      <c r="R123" s="84">
        <f t="shared" si="51"/>
        <v>1046469.3119999999</v>
      </c>
      <c r="S123" s="92">
        <v>7.6999999999999999E-2</v>
      </c>
      <c r="T123" s="162">
        <f t="shared" ca="1" si="52"/>
        <v>30</v>
      </c>
      <c r="U123" s="85">
        <f t="shared" ca="1" si="53"/>
        <v>6623</v>
      </c>
      <c r="V123" s="85">
        <f t="shared" ca="1" si="54"/>
        <v>1039846.3119999999</v>
      </c>
      <c r="W123" s="17"/>
      <c r="X123" s="6"/>
      <c r="Y123" s="94"/>
      <c r="Z123" s="94"/>
      <c r="AA123" s="20"/>
      <c r="AB123" s="19"/>
      <c r="AC123" s="16" t="e" cm="1">
        <f t="array" ref="AC123">_xlfn.IFS(D123="INDUSTOWER","275000000",D123="RELIANCEIN","220000000",D123="SIEMENSLTD","83330000")-I123</f>
        <v>#N/A</v>
      </c>
      <c r="AD123"/>
    </row>
    <row r="124" spans="1:30" x14ac:dyDescent="0.25">
      <c r="A124" s="158">
        <f>SUBTOTAL(3,B$3:B124)</f>
        <v>0</v>
      </c>
      <c r="B124" s="1">
        <f>SUBTOTAL(3,C$3:C124)</f>
        <v>122</v>
      </c>
      <c r="C124" s="83" t="s">
        <v>93</v>
      </c>
      <c r="D124" s="210" t="s">
        <v>453</v>
      </c>
      <c r="E124" s="49" t="s">
        <v>7</v>
      </c>
      <c r="F124" s="211" t="s">
        <v>450</v>
      </c>
      <c r="G124" s="212">
        <v>46125</v>
      </c>
      <c r="H124" s="34" t="s">
        <v>6</v>
      </c>
      <c r="I124" s="214">
        <v>1191733.92</v>
      </c>
      <c r="J124" s="161" cm="1">
        <f t="array" ref="J124">_xlfn.IFS(D124="INDUSTOWER","40",D124="RELIANCEIN","44",D124="SIEMENSLTD","120",D124="CLEANMAX","40",D124="AVAADA","40",D124="ARCHTECH","40")+G124</f>
        <v>46165</v>
      </c>
      <c r="K124" s="268">
        <f t="shared" ca="1" si="48"/>
        <v>46148</v>
      </c>
      <c r="L124" s="161">
        <f t="shared" si="49"/>
        <v>46185</v>
      </c>
      <c r="M124" s="209" t="s">
        <v>458</v>
      </c>
      <c r="N124" s="216">
        <f t="shared" si="50"/>
        <v>46125</v>
      </c>
      <c r="O124" s="148"/>
      <c r="P124" s="269"/>
      <c r="Q124" s="270" t="s">
        <v>460</v>
      </c>
      <c r="R124" s="84">
        <f t="shared" si="51"/>
        <v>1072560.5279999999</v>
      </c>
      <c r="S124" s="92">
        <v>7.6999999999999999E-2</v>
      </c>
      <c r="T124" s="162">
        <f t="shared" ca="1" si="52"/>
        <v>37</v>
      </c>
      <c r="U124" s="85">
        <f t="shared" ca="1" si="53"/>
        <v>8372</v>
      </c>
      <c r="V124" s="85">
        <f t="shared" ca="1" si="54"/>
        <v>1064188.5279999999</v>
      </c>
      <c r="W124" s="17"/>
      <c r="X124" s="6"/>
      <c r="Y124" s="94"/>
      <c r="Z124" s="94"/>
      <c r="AA124" s="20"/>
      <c r="AB124" s="19"/>
      <c r="AC124" s="16" t="e" cm="1">
        <f t="array" ref="AC124">_xlfn.IFS(D124="INDUSTOWER","275000000",D124="RELIANCEIN","220000000",D124="SIEMENSLTD","83330000")-I124</f>
        <v>#N/A</v>
      </c>
      <c r="AD124"/>
    </row>
    <row r="125" spans="1:30" x14ac:dyDescent="0.25">
      <c r="A125" s="158">
        <f>SUBTOTAL(3,B$3:B125)</f>
        <v>0</v>
      </c>
      <c r="B125" s="1">
        <f>SUBTOTAL(3,C$3:C125)</f>
        <v>123</v>
      </c>
      <c r="C125" s="83" t="s">
        <v>93</v>
      </c>
      <c r="D125" s="210" t="s">
        <v>453</v>
      </c>
      <c r="E125" s="49" t="s">
        <v>7</v>
      </c>
      <c r="F125" s="211" t="s">
        <v>451</v>
      </c>
      <c r="G125" s="212">
        <v>46134</v>
      </c>
      <c r="H125" s="34" t="s">
        <v>6</v>
      </c>
      <c r="I125" s="214">
        <v>1191733.92</v>
      </c>
      <c r="J125" s="161" cm="1">
        <f t="array" ref="J125">_xlfn.IFS(D125="INDUSTOWER","40",D125="RELIANCEIN","44",D125="SIEMENSLTD","120",D125="CLEANMAX","40",D125="AVAADA","40",D125="ARCHTECH","40")+G125</f>
        <v>46174</v>
      </c>
      <c r="K125" s="268">
        <f t="shared" ca="1" si="48"/>
        <v>46148</v>
      </c>
      <c r="L125" s="161">
        <f t="shared" si="49"/>
        <v>46194</v>
      </c>
      <c r="M125" s="209" t="s">
        <v>78</v>
      </c>
      <c r="N125" s="216">
        <f t="shared" si="50"/>
        <v>46134</v>
      </c>
      <c r="O125" s="148"/>
      <c r="P125" s="269"/>
      <c r="Q125" s="270" t="s">
        <v>460</v>
      </c>
      <c r="R125" s="84">
        <f t="shared" si="51"/>
        <v>1072560.5279999999</v>
      </c>
      <c r="S125" s="92">
        <v>7.6999999999999999E-2</v>
      </c>
      <c r="T125" s="162">
        <f t="shared" ca="1" si="52"/>
        <v>46</v>
      </c>
      <c r="U125" s="85">
        <f t="shared" ca="1" si="53"/>
        <v>10408</v>
      </c>
      <c r="V125" s="85">
        <f t="shared" ca="1" si="54"/>
        <v>1062152.5279999999</v>
      </c>
      <c r="W125" s="17"/>
      <c r="X125" s="6"/>
      <c r="Y125" s="94"/>
      <c r="Z125" s="94"/>
      <c r="AA125" s="20"/>
      <c r="AB125" s="19"/>
      <c r="AC125" s="16" t="e" cm="1">
        <f t="array" ref="AC125">_xlfn.IFS(D125="INDUSTOWER","275000000",D125="RELIANCEIN","220000000",D125="SIEMENSLTD","83330000")-I125</f>
        <v>#N/A</v>
      </c>
      <c r="AD125"/>
    </row>
    <row r="126" spans="1:30" x14ac:dyDescent="0.25">
      <c r="A126" s="158">
        <f>SUBTOTAL(3,B$3:B126)</f>
        <v>0</v>
      </c>
      <c r="B126" s="1">
        <f>SUBTOTAL(3,C$3:C126)</f>
        <v>124</v>
      </c>
      <c r="C126" s="83" t="s">
        <v>93</v>
      </c>
      <c r="D126" s="210" t="s">
        <v>453</v>
      </c>
      <c r="E126" s="49" t="s">
        <v>7</v>
      </c>
      <c r="F126" s="211" t="s">
        <v>452</v>
      </c>
      <c r="G126" s="212">
        <v>46136</v>
      </c>
      <c r="H126" s="34" t="s">
        <v>6</v>
      </c>
      <c r="I126" s="214">
        <v>1191733.92</v>
      </c>
      <c r="J126" s="161" cm="1">
        <f t="array" ref="J126">_xlfn.IFS(D126="INDUSTOWER","40",D126="RELIANCEIN","44",D126="SIEMENSLTD","120",D126="CLEANMAX","40",D126="AVAADA","40",D126="ARCHTECH","40")+G126</f>
        <v>46176</v>
      </c>
      <c r="K126" s="268">
        <f t="shared" ca="1" si="48"/>
        <v>46148</v>
      </c>
      <c r="L126" s="161">
        <f t="shared" si="49"/>
        <v>46196</v>
      </c>
      <c r="M126" s="209" t="s">
        <v>86</v>
      </c>
      <c r="N126" s="216">
        <f t="shared" si="50"/>
        <v>46136</v>
      </c>
      <c r="O126" s="148"/>
      <c r="P126" s="269"/>
      <c r="Q126" s="270" t="s">
        <v>460</v>
      </c>
      <c r="R126" s="84">
        <f t="shared" si="51"/>
        <v>1072560.5279999999</v>
      </c>
      <c r="S126" s="92">
        <v>7.6999999999999999E-2</v>
      </c>
      <c r="T126" s="162">
        <f t="shared" ca="1" si="52"/>
        <v>48</v>
      </c>
      <c r="U126" s="85">
        <f t="shared" ca="1" si="53"/>
        <v>10861</v>
      </c>
      <c r="V126" s="85">
        <f t="shared" ca="1" si="54"/>
        <v>1061699.5279999999</v>
      </c>
      <c r="W126" s="17"/>
      <c r="X126" s="6"/>
      <c r="Y126" s="94"/>
      <c r="Z126" s="94"/>
      <c r="AA126" s="20"/>
      <c r="AB126" s="19"/>
      <c r="AC126" s="16" t="e" cm="1">
        <f t="array" ref="AC126">_xlfn.IFS(D126="INDUSTOWER","275000000",D126="RELIANCEIN","220000000",D126="SIEMENSLTD","83330000")-I126</f>
        <v>#N/A</v>
      </c>
      <c r="AD126"/>
    </row>
    <row r="127" spans="1:30" x14ac:dyDescent="0.25">
      <c r="A127" s="158">
        <f>SUBTOTAL(3,B$3:B127)</f>
        <v>0</v>
      </c>
      <c r="B127" s="1">
        <f>SUBTOTAL(3,C$3:C127)</f>
        <v>125</v>
      </c>
      <c r="C127" s="83" t="s">
        <v>93</v>
      </c>
      <c r="D127" s="210" t="s">
        <v>472</v>
      </c>
      <c r="E127" s="49" t="s">
        <v>7</v>
      </c>
      <c r="F127" s="211" t="s">
        <v>467</v>
      </c>
      <c r="G127" s="212">
        <v>46118</v>
      </c>
      <c r="H127" s="34" t="s">
        <v>6</v>
      </c>
      <c r="I127" s="214">
        <v>485219.54000000004</v>
      </c>
      <c r="J127" s="161" cm="1">
        <f t="array" ref="J127">_xlfn.IFS(D127="INDUSTOWER","40",D127="RELIANCEIN","44",D127="SIEMENSLTD","120",D127="CLEANMAX","40",D127="AVAADA","40",D127="ARCHTECH","40")+G127</f>
        <v>46158</v>
      </c>
      <c r="K127" s="268">
        <f t="shared" ca="1" si="48"/>
        <v>46148</v>
      </c>
      <c r="L127" s="161">
        <f t="shared" si="49"/>
        <v>46178</v>
      </c>
      <c r="M127" s="209" t="s">
        <v>462</v>
      </c>
      <c r="N127" s="216">
        <f t="shared" si="50"/>
        <v>46118</v>
      </c>
      <c r="O127" s="148"/>
      <c r="P127" s="269"/>
      <c r="Q127" s="270" t="s">
        <v>473</v>
      </c>
      <c r="R127" s="84">
        <f t="shared" si="51"/>
        <v>436697.58600000007</v>
      </c>
      <c r="S127" s="92">
        <v>7.6999999999999999E-2</v>
      </c>
      <c r="T127" s="162">
        <f t="shared" ca="1" si="52"/>
        <v>30</v>
      </c>
      <c r="U127" s="85">
        <f t="shared" ca="1" si="53"/>
        <v>2764</v>
      </c>
      <c r="V127" s="85">
        <f t="shared" ca="1" si="54"/>
        <v>433933.58600000007</v>
      </c>
      <c r="W127" s="17"/>
      <c r="X127" s="6"/>
      <c r="Y127" s="94"/>
      <c r="Z127" s="94"/>
      <c r="AA127" s="20"/>
      <c r="AB127" s="19"/>
      <c r="AC127" s="16" t="e" cm="1">
        <f t="array" ref="AC127">_xlfn.IFS(D127="INDUSTOWER","275000000",D127="RELIANCEIN","220000000",D127="SIEMENSLTD","83330000")-I127</f>
        <v>#N/A</v>
      </c>
      <c r="AD127"/>
    </row>
    <row r="128" spans="1:30" x14ac:dyDescent="0.25">
      <c r="A128" s="158">
        <f>SUBTOTAL(3,B$3:B128)</f>
        <v>0</v>
      </c>
      <c r="B128" s="1">
        <f>SUBTOTAL(3,C$3:C128)</f>
        <v>126</v>
      </c>
      <c r="C128" s="83" t="s">
        <v>93</v>
      </c>
      <c r="D128" s="210" t="s">
        <v>472</v>
      </c>
      <c r="E128" s="49" t="s">
        <v>7</v>
      </c>
      <c r="F128" s="211" t="s">
        <v>468</v>
      </c>
      <c r="G128" s="212">
        <v>46129</v>
      </c>
      <c r="H128" s="34" t="s">
        <v>6</v>
      </c>
      <c r="I128" s="214">
        <v>1175384.78</v>
      </c>
      <c r="J128" s="161" cm="1">
        <f t="array" ref="J128">_xlfn.IFS(D128="INDUSTOWER","40",D128="RELIANCEIN","44",D128="SIEMENSLTD","120",D128="CLEANMAX","40",D128="AVAADA","40",D128="ARCHTECH","40")+G128</f>
        <v>46169</v>
      </c>
      <c r="K128" s="268">
        <f t="shared" ca="1" si="48"/>
        <v>46148</v>
      </c>
      <c r="L128" s="161">
        <f t="shared" si="49"/>
        <v>46189</v>
      </c>
      <c r="M128" s="209" t="s">
        <v>463</v>
      </c>
      <c r="N128" s="216">
        <f t="shared" si="50"/>
        <v>46129</v>
      </c>
      <c r="O128" s="148"/>
      <c r="P128" s="269"/>
      <c r="Q128" s="270" t="s">
        <v>474</v>
      </c>
      <c r="R128" s="84">
        <f t="shared" si="51"/>
        <v>1057846.3020000001</v>
      </c>
      <c r="S128" s="92">
        <v>7.6999999999999999E-2</v>
      </c>
      <c r="T128" s="162">
        <f t="shared" ca="1" si="52"/>
        <v>41</v>
      </c>
      <c r="U128" s="85">
        <f t="shared" ca="1" si="53"/>
        <v>9150</v>
      </c>
      <c r="V128" s="85">
        <f t="shared" ca="1" si="54"/>
        <v>1048696.3020000001</v>
      </c>
      <c r="W128" s="17"/>
      <c r="X128" s="6"/>
      <c r="Y128" s="94"/>
      <c r="Z128" s="94"/>
      <c r="AA128" s="20"/>
      <c r="AB128" s="19"/>
      <c r="AC128" s="16" t="e" cm="1">
        <f t="array" ref="AC128">_xlfn.IFS(D128="INDUSTOWER","275000000",D128="RELIANCEIN","220000000",D128="SIEMENSLTD","83330000")-I128</f>
        <v>#N/A</v>
      </c>
      <c r="AD128"/>
    </row>
    <row r="129" spans="1:30" x14ac:dyDescent="0.25">
      <c r="A129" s="158">
        <f>SUBTOTAL(3,B$3:B129)</f>
        <v>0</v>
      </c>
      <c r="B129" s="1">
        <f>SUBTOTAL(3,C$3:C129)</f>
        <v>127</v>
      </c>
      <c r="C129" s="83" t="s">
        <v>93</v>
      </c>
      <c r="D129" s="210" t="s">
        <v>472</v>
      </c>
      <c r="E129" s="49" t="s">
        <v>7</v>
      </c>
      <c r="F129" s="211" t="s">
        <v>469</v>
      </c>
      <c r="G129" s="212">
        <v>46129</v>
      </c>
      <c r="H129" s="34" t="s">
        <v>6</v>
      </c>
      <c r="I129" s="214">
        <v>2185489.7999999998</v>
      </c>
      <c r="J129" s="161" cm="1">
        <f t="array" ref="J129">_xlfn.IFS(D129="INDUSTOWER","40",D129="RELIANCEIN","44",D129="SIEMENSLTD","120",D129="CLEANMAX","40",D129="AVAADA","40",D129="ARCHTECH","40")+G129</f>
        <v>46169</v>
      </c>
      <c r="K129" s="268">
        <f t="shared" ca="1" si="48"/>
        <v>46148</v>
      </c>
      <c r="L129" s="161">
        <f t="shared" si="49"/>
        <v>46189</v>
      </c>
      <c r="M129" s="209" t="s">
        <v>464</v>
      </c>
      <c r="N129" s="216">
        <f t="shared" si="50"/>
        <v>46129</v>
      </c>
      <c r="O129" s="148"/>
      <c r="P129" s="269"/>
      <c r="Q129" s="270" t="s">
        <v>474</v>
      </c>
      <c r="R129" s="84">
        <f t="shared" si="51"/>
        <v>1966940.8199999998</v>
      </c>
      <c r="S129" s="92">
        <v>7.6999999999999999E-2</v>
      </c>
      <c r="T129" s="162">
        <f t="shared" ca="1" si="52"/>
        <v>41</v>
      </c>
      <c r="U129" s="85">
        <f t="shared" ca="1" si="53"/>
        <v>17013</v>
      </c>
      <c r="V129" s="85">
        <f t="shared" ca="1" si="54"/>
        <v>1949927.8199999998</v>
      </c>
      <c r="W129" s="17"/>
      <c r="X129" s="6"/>
      <c r="Y129" s="94"/>
      <c r="Z129" s="94"/>
      <c r="AA129" s="20"/>
      <c r="AB129" s="19"/>
      <c r="AC129" s="16" t="e" cm="1">
        <f t="array" ref="AC129">_xlfn.IFS(D129="INDUSTOWER","275000000",D129="RELIANCEIN","220000000",D129="SIEMENSLTD","83330000")-I129</f>
        <v>#N/A</v>
      </c>
      <c r="AD129"/>
    </row>
    <row r="130" spans="1:30" x14ac:dyDescent="0.25">
      <c r="A130" s="158">
        <f>SUBTOTAL(3,B$3:B130)</f>
        <v>0</v>
      </c>
      <c r="B130" s="1">
        <f>SUBTOTAL(3,C$3:C130)</f>
        <v>128</v>
      </c>
      <c r="C130" s="83" t="s">
        <v>93</v>
      </c>
      <c r="D130" s="210" t="s">
        <v>472</v>
      </c>
      <c r="E130" s="49" t="s">
        <v>7</v>
      </c>
      <c r="F130" s="211" t="s">
        <v>470</v>
      </c>
      <c r="G130" s="212">
        <v>46131</v>
      </c>
      <c r="H130" s="34" t="s">
        <v>6</v>
      </c>
      <c r="I130" s="214">
        <v>1175384.78</v>
      </c>
      <c r="J130" s="161" cm="1">
        <f t="array" ref="J130">_xlfn.IFS(D130="INDUSTOWER","40",D130="RELIANCEIN","44",D130="SIEMENSLTD","120",D130="CLEANMAX","40",D130="AVAADA","40",D130="ARCHTECH","40")+G130</f>
        <v>46171</v>
      </c>
      <c r="K130" s="268">
        <f t="shared" ca="1" si="48"/>
        <v>46148</v>
      </c>
      <c r="L130" s="161">
        <f t="shared" si="49"/>
        <v>46191</v>
      </c>
      <c r="M130" s="209" t="s">
        <v>465</v>
      </c>
      <c r="N130" s="216">
        <f t="shared" si="50"/>
        <v>46131</v>
      </c>
      <c r="O130" s="148"/>
      <c r="P130" s="269"/>
      <c r="Q130" s="270" t="s">
        <v>475</v>
      </c>
      <c r="R130" s="84">
        <f t="shared" si="51"/>
        <v>1057846.3020000001</v>
      </c>
      <c r="S130" s="92">
        <v>7.6999999999999999E-2</v>
      </c>
      <c r="T130" s="162">
        <f t="shared" ca="1" si="52"/>
        <v>43</v>
      </c>
      <c r="U130" s="85">
        <f t="shared" ca="1" si="53"/>
        <v>9596</v>
      </c>
      <c r="V130" s="85">
        <f t="shared" ca="1" si="54"/>
        <v>1048250.3020000001</v>
      </c>
      <c r="W130" s="17"/>
      <c r="X130" s="6"/>
      <c r="Y130" s="94"/>
      <c r="Z130" s="94"/>
      <c r="AA130" s="20"/>
      <c r="AB130" s="19"/>
      <c r="AC130" s="16" t="e" cm="1">
        <f t="array" ref="AC130">_xlfn.IFS(D130="INDUSTOWER","275000000",D130="RELIANCEIN","220000000",D130="SIEMENSLTD","83330000")-I130</f>
        <v>#N/A</v>
      </c>
      <c r="AD130"/>
    </row>
    <row r="131" spans="1:30" x14ac:dyDescent="0.25">
      <c r="A131" s="158">
        <f>SUBTOTAL(3,B$3:B131)</f>
        <v>0</v>
      </c>
      <c r="B131" s="1">
        <f>SUBTOTAL(3,C$3:C131)</f>
        <v>129</v>
      </c>
      <c r="C131" s="83" t="s">
        <v>93</v>
      </c>
      <c r="D131" s="210" t="s">
        <v>472</v>
      </c>
      <c r="E131" s="49" t="s">
        <v>7</v>
      </c>
      <c r="F131" s="211" t="s">
        <v>471</v>
      </c>
      <c r="G131" s="212">
        <v>46138</v>
      </c>
      <c r="H131" s="34" t="s">
        <v>6</v>
      </c>
      <c r="I131" s="214">
        <v>1345716.96</v>
      </c>
      <c r="J131" s="161" cm="1">
        <f t="array" ref="J131">_xlfn.IFS(D131="INDUSTOWER","40",D131="RELIANCEIN","44",D131="SIEMENSLTD","120",D131="CLEANMAX","40",D131="AVAADA","40",D131="ARCHTECH","40")+G131</f>
        <v>46178</v>
      </c>
      <c r="K131" s="268">
        <f t="shared" ca="1" si="48"/>
        <v>46148</v>
      </c>
      <c r="L131" s="161">
        <f t="shared" si="49"/>
        <v>46198</v>
      </c>
      <c r="M131" s="209" t="s">
        <v>466</v>
      </c>
      <c r="N131" s="216">
        <f t="shared" si="50"/>
        <v>46138</v>
      </c>
      <c r="O131" s="148"/>
      <c r="P131" s="269"/>
      <c r="Q131" s="270" t="s">
        <v>474</v>
      </c>
      <c r="R131" s="84">
        <f t="shared" si="51"/>
        <v>1211145.264</v>
      </c>
      <c r="S131" s="92">
        <v>7.6999999999999999E-2</v>
      </c>
      <c r="T131" s="162">
        <f t="shared" ca="1" si="52"/>
        <v>50</v>
      </c>
      <c r="U131" s="85">
        <f t="shared" ca="1" si="53"/>
        <v>12775</v>
      </c>
      <c r="V131" s="85">
        <f t="shared" ca="1" si="54"/>
        <v>1198370.264</v>
      </c>
      <c r="W131" s="17"/>
      <c r="X131" s="6"/>
      <c r="Y131" s="94"/>
      <c r="Z131" s="94"/>
      <c r="AA131" s="20"/>
      <c r="AB131" s="19"/>
      <c r="AC131" s="16" t="e" cm="1">
        <f t="array" ref="AC131">_xlfn.IFS(D131="INDUSTOWER","275000000",D131="RELIANCEIN","220000000",D131="SIEMENSLTD","83330000")-I131</f>
        <v>#N/A</v>
      </c>
      <c r="AD131"/>
    </row>
    <row r="132" spans="1:30" x14ac:dyDescent="0.25">
      <c r="A132" s="158">
        <f>SUBTOTAL(3,B$3:B132)</f>
        <v>0</v>
      </c>
      <c r="B132" s="1">
        <f>SUBTOTAL(3,C$3:C132)</f>
        <v>130</v>
      </c>
      <c r="C132" s="83" t="s">
        <v>93</v>
      </c>
      <c r="D132" s="210" t="s">
        <v>478</v>
      </c>
      <c r="E132" s="49" t="s">
        <v>7</v>
      </c>
      <c r="F132" s="211" t="s">
        <v>476</v>
      </c>
      <c r="G132" s="212">
        <v>46136</v>
      </c>
      <c r="H132" s="34" t="s">
        <v>6</v>
      </c>
      <c r="I132" s="214">
        <v>1387650.5</v>
      </c>
      <c r="J132" s="161" cm="1">
        <f t="array" ref="J132">_xlfn.IFS(D132="INDUSTOWER","40",D132="RELIANCEIN","44",D132="SIEMENSLTD","120",D132="CLEANMAX","40",D132="AVAADA","40",D132="ARCHTECH","40")+G132</f>
        <v>46176</v>
      </c>
      <c r="K132" s="268">
        <f t="shared" ca="1" si="48"/>
        <v>46148</v>
      </c>
      <c r="L132" s="161">
        <f t="shared" si="49"/>
        <v>46196</v>
      </c>
      <c r="M132" s="209" t="s">
        <v>479</v>
      </c>
      <c r="N132" s="216">
        <f t="shared" si="50"/>
        <v>46136</v>
      </c>
      <c r="O132" s="148"/>
      <c r="P132" s="269"/>
      <c r="Q132" s="270" t="s">
        <v>480</v>
      </c>
      <c r="R132" s="84">
        <f t="shared" si="51"/>
        <v>1248885.45</v>
      </c>
      <c r="S132" s="92">
        <v>7.6999999999999999E-2</v>
      </c>
      <c r="T132" s="162">
        <f t="shared" ca="1" si="52"/>
        <v>48</v>
      </c>
      <c r="U132" s="85">
        <f t="shared" ca="1" si="53"/>
        <v>12646</v>
      </c>
      <c r="V132" s="85">
        <f t="shared" ca="1" si="54"/>
        <v>1236239.45</v>
      </c>
      <c r="W132" s="17"/>
      <c r="X132" s="6"/>
      <c r="Y132" s="94"/>
      <c r="Z132" s="94"/>
      <c r="AA132" s="20"/>
      <c r="AB132" s="19"/>
      <c r="AC132" s="16" t="e" cm="1">
        <f t="array" ref="AC132">_xlfn.IFS(D132="INDUSTOWER","275000000",D132="RELIANCEIN","220000000",D132="SIEMENSLTD","83330000")-I132</f>
        <v>#N/A</v>
      </c>
      <c r="AD132"/>
    </row>
    <row r="133" spans="1:30" x14ac:dyDescent="0.25">
      <c r="A133" s="158">
        <f>SUBTOTAL(3,B$3:B133)</f>
        <v>0</v>
      </c>
      <c r="B133" s="1">
        <f>SUBTOTAL(3,C$3:C133)</f>
        <v>131</v>
      </c>
      <c r="C133" s="83" t="s">
        <v>93</v>
      </c>
      <c r="D133" s="210" t="s">
        <v>478</v>
      </c>
      <c r="E133" s="49" t="s">
        <v>7</v>
      </c>
      <c r="F133" s="211" t="s">
        <v>477</v>
      </c>
      <c r="G133" s="212">
        <v>46136</v>
      </c>
      <c r="H133" s="34" t="s">
        <v>6</v>
      </c>
      <c r="I133" s="214">
        <v>1451842.5</v>
      </c>
      <c r="J133" s="161" cm="1">
        <f t="array" ref="J133">_xlfn.IFS(D133="INDUSTOWER","40",D133="RELIANCEIN","44",D133="SIEMENSLTD","120",D133="CLEANMAX","40",D133="AVAADA","40",D133="ARCHTECH","40")+G133</f>
        <v>46176</v>
      </c>
      <c r="K133" s="268">
        <f t="shared" ca="1" si="48"/>
        <v>46148</v>
      </c>
      <c r="L133" s="161">
        <f t="shared" si="49"/>
        <v>46196</v>
      </c>
      <c r="M133" s="209" t="s">
        <v>479</v>
      </c>
      <c r="N133" s="216">
        <f t="shared" si="50"/>
        <v>46136</v>
      </c>
      <c r="O133" s="148"/>
      <c r="P133" s="269"/>
      <c r="Q133" s="270" t="s">
        <v>480</v>
      </c>
      <c r="R133" s="84">
        <f t="shared" si="51"/>
        <v>1306658.25</v>
      </c>
      <c r="S133" s="92">
        <v>7.6999999999999999E-2</v>
      </c>
      <c r="T133" s="162">
        <f t="shared" ca="1" si="52"/>
        <v>48</v>
      </c>
      <c r="U133" s="85">
        <f t="shared" ca="1" si="53"/>
        <v>13231</v>
      </c>
      <c r="V133" s="85">
        <f t="shared" ca="1" si="54"/>
        <v>1293427.25</v>
      </c>
      <c r="W133" s="17"/>
      <c r="X133" s="6"/>
      <c r="Y133" s="94"/>
      <c r="Z133" s="94"/>
      <c r="AA133" s="20"/>
      <c r="AB133" s="19"/>
      <c r="AC133" s="16" t="e" cm="1">
        <f t="array" ref="AC133">_xlfn.IFS(D133="INDUSTOWER","275000000",D133="RELIANCEIN","220000000",D133="SIEMENSLTD","83330000")-I133</f>
        <v>#N/A</v>
      </c>
      <c r="AD133"/>
    </row>
    <row r="134" spans="1:30" x14ac:dyDescent="0.25">
      <c r="A134" s="158">
        <f>SUBTOTAL(3,B$3:B134)</f>
        <v>0</v>
      </c>
      <c r="B134" s="1">
        <f>SUBTOTAL(3,C$3:C134)</f>
        <v>132</v>
      </c>
      <c r="C134" s="83" t="s">
        <v>93</v>
      </c>
      <c r="D134" s="210" t="s">
        <v>478</v>
      </c>
      <c r="E134" s="49" t="s">
        <v>7</v>
      </c>
      <c r="F134" s="211" t="s">
        <v>481</v>
      </c>
      <c r="G134" s="212">
        <v>46138</v>
      </c>
      <c r="H134" s="34" t="s">
        <v>6</v>
      </c>
      <c r="I134" s="214">
        <v>565190.5</v>
      </c>
      <c r="J134" s="161" cm="1">
        <f t="array" ref="J134">_xlfn.IFS(D134="INDUSTOWER","40",D134="RELIANCEIN","44",D134="SIEMENSLTD","120",D134="CLEANMAX","40",D134="AVAADA","40",D134="ARCHTECH","40")+G134</f>
        <v>46178</v>
      </c>
      <c r="K134" s="268">
        <f t="shared" ca="1" si="48"/>
        <v>46148</v>
      </c>
      <c r="L134" s="161">
        <f t="shared" si="49"/>
        <v>46198</v>
      </c>
      <c r="M134" s="209" t="s">
        <v>486</v>
      </c>
      <c r="N134" s="216">
        <f t="shared" si="50"/>
        <v>46138</v>
      </c>
      <c r="O134" s="148"/>
      <c r="P134" s="269"/>
      <c r="Q134" s="270" t="s">
        <v>490</v>
      </c>
      <c r="R134" s="84">
        <f t="shared" si="51"/>
        <v>508671.45</v>
      </c>
      <c r="S134" s="92">
        <v>7.6999999999999999E-2</v>
      </c>
      <c r="T134" s="162">
        <f t="shared" ca="1" si="52"/>
        <v>50</v>
      </c>
      <c r="U134" s="85">
        <f t="shared" ca="1" si="53"/>
        <v>5365</v>
      </c>
      <c r="V134" s="85">
        <f t="shared" ca="1" si="54"/>
        <v>503306.45</v>
      </c>
      <c r="W134" s="17"/>
      <c r="X134" s="6"/>
      <c r="Y134" s="94"/>
      <c r="Z134" s="94"/>
      <c r="AA134" s="20"/>
      <c r="AB134" s="19"/>
      <c r="AC134" s="16" t="e" cm="1">
        <f t="array" ref="AC134">_xlfn.IFS(D134="INDUSTOWER","275000000",D134="RELIANCEIN","220000000",D134="SIEMENSLTD","83330000")-I134</f>
        <v>#N/A</v>
      </c>
      <c r="AD134"/>
    </row>
    <row r="135" spans="1:30" x14ac:dyDescent="0.25">
      <c r="A135" s="158">
        <f>SUBTOTAL(3,B$3:B135)</f>
        <v>0</v>
      </c>
      <c r="B135" s="1">
        <f>SUBTOTAL(3,C$3:C135)</f>
        <v>133</v>
      </c>
      <c r="C135" s="83" t="s">
        <v>93</v>
      </c>
      <c r="D135" s="210" t="s">
        <v>478</v>
      </c>
      <c r="E135" s="49" t="s">
        <v>7</v>
      </c>
      <c r="F135" s="211" t="s">
        <v>482</v>
      </c>
      <c r="G135" s="212">
        <v>46139</v>
      </c>
      <c r="H135" s="34" t="s">
        <v>6</v>
      </c>
      <c r="I135" s="214">
        <v>552151.5</v>
      </c>
      <c r="J135" s="161" cm="1">
        <f t="array" ref="J135">_xlfn.IFS(D135="INDUSTOWER","40",D135="RELIANCEIN","44",D135="SIEMENSLTD","120",D135="CLEANMAX","40",D135="AVAADA","40",D135="ARCHTECH","40")+G135</f>
        <v>46179</v>
      </c>
      <c r="K135" s="268">
        <f t="shared" ca="1" si="48"/>
        <v>46148</v>
      </c>
      <c r="L135" s="161">
        <f t="shared" si="49"/>
        <v>46199</v>
      </c>
      <c r="M135" s="209" t="s">
        <v>487</v>
      </c>
      <c r="N135" s="216">
        <f t="shared" si="50"/>
        <v>46139</v>
      </c>
      <c r="O135" s="148"/>
      <c r="P135" s="269"/>
      <c r="Q135" s="270" t="s">
        <v>490</v>
      </c>
      <c r="R135" s="84">
        <f t="shared" si="51"/>
        <v>496936.35000000003</v>
      </c>
      <c r="S135" s="92">
        <v>7.6999999999999999E-2</v>
      </c>
      <c r="T135" s="162">
        <f t="shared" ca="1" si="52"/>
        <v>51</v>
      </c>
      <c r="U135" s="85">
        <f t="shared" ca="1" si="53"/>
        <v>5346</v>
      </c>
      <c r="V135" s="85">
        <f t="shared" ca="1" si="54"/>
        <v>491590.35000000003</v>
      </c>
      <c r="W135" s="17"/>
      <c r="X135" s="6"/>
      <c r="Y135" s="94"/>
      <c r="Z135" s="94"/>
      <c r="AA135" s="20"/>
      <c r="AB135" s="19"/>
      <c r="AC135" s="16" t="e" cm="1">
        <f t="array" ref="AC135">_xlfn.IFS(D135="INDUSTOWER","275000000",D135="RELIANCEIN","220000000",D135="SIEMENSLTD","83330000")-I135</f>
        <v>#N/A</v>
      </c>
      <c r="AD135"/>
    </row>
    <row r="136" spans="1:30" x14ac:dyDescent="0.25">
      <c r="A136" s="158">
        <f>SUBTOTAL(3,B$3:B136)</f>
        <v>0</v>
      </c>
      <c r="B136" s="1">
        <f>SUBTOTAL(3,C$3:C136)</f>
        <v>134</v>
      </c>
      <c r="C136" s="83" t="s">
        <v>93</v>
      </c>
      <c r="D136" s="210" t="s">
        <v>24</v>
      </c>
      <c r="E136" s="49" t="s">
        <v>7</v>
      </c>
      <c r="F136" s="211" t="s">
        <v>483</v>
      </c>
      <c r="G136" s="212">
        <v>46139</v>
      </c>
      <c r="H136" s="34" t="s">
        <v>6</v>
      </c>
      <c r="I136" s="214">
        <v>822460</v>
      </c>
      <c r="J136" s="161" cm="1">
        <f t="array" ref="J136">_xlfn.IFS(D136="INDUSTOWER","40",D136="RELIANCEIN","44",D136="SIEMENSLTD","120",D136="CLEANMAX","40",D136="AVAADA","40",D136="ARCHTECH","40")+G136</f>
        <v>46183</v>
      </c>
      <c r="K136" s="268">
        <f t="shared" ca="1" si="48"/>
        <v>46148</v>
      </c>
      <c r="L136" s="161">
        <f t="shared" si="49"/>
        <v>46203</v>
      </c>
      <c r="M136" s="209" t="s">
        <v>488</v>
      </c>
      <c r="N136" s="216">
        <f t="shared" si="50"/>
        <v>46139</v>
      </c>
      <c r="O136" s="148"/>
      <c r="P136" s="269"/>
      <c r="Q136" s="270" t="s">
        <v>196</v>
      </c>
      <c r="R136" s="84">
        <f t="shared" si="51"/>
        <v>740214</v>
      </c>
      <c r="S136" s="92">
        <v>7.6999999999999999E-2</v>
      </c>
      <c r="T136" s="162">
        <f t="shared" ca="1" si="52"/>
        <v>55</v>
      </c>
      <c r="U136" s="85">
        <f t="shared" ca="1" si="53"/>
        <v>8589</v>
      </c>
      <c r="V136" s="85">
        <f t="shared" ca="1" si="54"/>
        <v>731625</v>
      </c>
      <c r="W136" s="17"/>
      <c r="X136" s="6"/>
      <c r="Y136" s="94"/>
      <c r="Z136" s="94"/>
      <c r="AA136" s="20"/>
      <c r="AB136" s="19"/>
      <c r="AC136" s="16" cm="1">
        <f t="array" ref="AC136">_xlfn.IFS(D136="INDUSTOWER","275000000",D136="RELIANCEIN","220000000",D136="SIEMENSLTD","83330000")-I136</f>
        <v>219177540</v>
      </c>
      <c r="AD136"/>
    </row>
    <row r="137" spans="1:30" x14ac:dyDescent="0.25">
      <c r="A137" s="158">
        <f>SUBTOTAL(3,B$3:B137)</f>
        <v>0</v>
      </c>
      <c r="B137" s="1">
        <f>SUBTOTAL(3,C$3:C137)</f>
        <v>135</v>
      </c>
      <c r="C137" s="83" t="s">
        <v>93</v>
      </c>
      <c r="D137" s="30" t="s">
        <v>27</v>
      </c>
      <c r="E137" s="49" t="s">
        <v>7</v>
      </c>
      <c r="F137" s="211" t="s">
        <v>484</v>
      </c>
      <c r="G137" s="212">
        <v>46139</v>
      </c>
      <c r="H137" s="34" t="s">
        <v>6</v>
      </c>
      <c r="I137" s="214">
        <v>483325.64</v>
      </c>
      <c r="J137" s="161" cm="1">
        <f t="array" ref="J137">_xlfn.IFS(D137="INDUSTOWER","40",D137="RELIANCEIN","44",D137="SIEMENSLTD","120",D137="CLEANMAX","40",D137="AVAADA","40",D137="ARCHTECH","40")+G137</f>
        <v>46179</v>
      </c>
      <c r="K137" s="268">
        <f t="shared" ca="1" si="48"/>
        <v>46148</v>
      </c>
      <c r="L137" s="161">
        <f t="shared" si="49"/>
        <v>46199</v>
      </c>
      <c r="M137" s="209" t="s">
        <v>89</v>
      </c>
      <c r="N137" s="216">
        <f t="shared" si="50"/>
        <v>46139</v>
      </c>
      <c r="O137" s="148"/>
      <c r="P137" s="269"/>
      <c r="Q137" s="270" t="s">
        <v>29</v>
      </c>
      <c r="R137" s="84">
        <f t="shared" si="51"/>
        <v>434993.076</v>
      </c>
      <c r="S137" s="92">
        <v>7.6999999999999999E-2</v>
      </c>
      <c r="T137" s="162">
        <f t="shared" ca="1" si="52"/>
        <v>51</v>
      </c>
      <c r="U137" s="85">
        <f t="shared" ca="1" si="53"/>
        <v>4680</v>
      </c>
      <c r="V137" s="85">
        <f t="shared" ca="1" si="54"/>
        <v>430313.076</v>
      </c>
      <c r="W137" s="17"/>
      <c r="X137" s="6"/>
      <c r="Y137" s="94"/>
      <c r="Z137" s="94"/>
      <c r="AA137" s="20"/>
      <c r="AB137" s="19"/>
      <c r="AC137" s="16" cm="1">
        <f t="array" ref="AC137">_xlfn.IFS(D137="INDUSTOWER","275000000",D137="RELIANCEIN","220000000",D137="SIEMENSLTD","83330000")-I137</f>
        <v>274516674.36000001</v>
      </c>
      <c r="AD137"/>
    </row>
    <row r="138" spans="1:30" x14ac:dyDescent="0.25">
      <c r="A138" s="158">
        <f>SUBTOTAL(3,B$3:B138)</f>
        <v>0</v>
      </c>
      <c r="B138" s="1">
        <f>SUBTOTAL(3,C$3:C138)</f>
        <v>136</v>
      </c>
      <c r="C138" s="83" t="s">
        <v>93</v>
      </c>
      <c r="D138" s="30" t="s">
        <v>27</v>
      </c>
      <c r="E138" s="49" t="s">
        <v>7</v>
      </c>
      <c r="F138" s="211" t="s">
        <v>485</v>
      </c>
      <c r="G138" s="212">
        <v>46139</v>
      </c>
      <c r="H138" s="34" t="s">
        <v>6</v>
      </c>
      <c r="I138" s="214">
        <v>483325.64</v>
      </c>
      <c r="J138" s="161" cm="1">
        <f t="array" ref="J138">_xlfn.IFS(D138="INDUSTOWER","40",D138="RELIANCEIN","44",D138="SIEMENSLTD","120",D138="CLEANMAX","40",D138="AVAADA","40",D138="ARCHTECH","40")+G138</f>
        <v>46179</v>
      </c>
      <c r="K138" s="268">
        <f t="shared" ca="1" si="48"/>
        <v>46148</v>
      </c>
      <c r="L138" s="161">
        <f t="shared" si="49"/>
        <v>46199</v>
      </c>
      <c r="M138" s="209" t="s">
        <v>489</v>
      </c>
      <c r="N138" s="216">
        <f t="shared" si="50"/>
        <v>46139</v>
      </c>
      <c r="O138" s="148"/>
      <c r="P138" s="269"/>
      <c r="Q138" s="270" t="s">
        <v>29</v>
      </c>
      <c r="R138" s="84">
        <f t="shared" si="51"/>
        <v>434993.076</v>
      </c>
      <c r="S138" s="92">
        <v>7.6999999999999999E-2</v>
      </c>
      <c r="T138" s="162">
        <f t="shared" ca="1" si="52"/>
        <v>51</v>
      </c>
      <c r="U138" s="85">
        <f t="shared" ca="1" si="53"/>
        <v>4680</v>
      </c>
      <c r="V138" s="85">
        <f t="shared" ca="1" si="54"/>
        <v>430313.076</v>
      </c>
      <c r="W138" s="17"/>
      <c r="X138" s="6"/>
      <c r="Y138" s="94"/>
      <c r="Z138" s="94"/>
      <c r="AA138" s="20"/>
      <c r="AB138" s="19"/>
      <c r="AC138" s="16" cm="1">
        <f t="array" ref="AC138">_xlfn.IFS(D138="INDUSTOWER","275000000",D138="RELIANCEIN","220000000",D138="SIEMENSLTD","83330000")-I138</f>
        <v>274516674.36000001</v>
      </c>
      <c r="AD138"/>
    </row>
    <row r="139" spans="1:30" x14ac:dyDescent="0.25">
      <c r="A139" s="158">
        <f>SUBTOTAL(3,B$3:B139)</f>
        <v>0</v>
      </c>
      <c r="B139" s="1">
        <f>SUBTOTAL(3,C$3:C139)</f>
        <v>137</v>
      </c>
      <c r="C139" s="83" t="s">
        <v>93</v>
      </c>
      <c r="D139" s="30" t="s">
        <v>27</v>
      </c>
      <c r="E139" s="49" t="s">
        <v>7</v>
      </c>
      <c r="F139" s="211" t="s">
        <v>491</v>
      </c>
      <c r="G139" s="212">
        <v>46140</v>
      </c>
      <c r="H139" s="34" t="s">
        <v>6</v>
      </c>
      <c r="I139" s="214">
        <v>483325.64</v>
      </c>
      <c r="J139" s="161" cm="1">
        <f t="array" ref="J139">_xlfn.IFS(D139="INDUSTOWER","40",D139="RELIANCEIN","44",D139="SIEMENSLTD","120",D139="CLEANMAX","40",D139="AVAADA","40",D139="ARCHTECH","40")+G139</f>
        <v>46180</v>
      </c>
      <c r="K139" s="268">
        <f t="shared" ca="1" si="48"/>
        <v>46148</v>
      </c>
      <c r="L139" s="161">
        <f t="shared" si="49"/>
        <v>46200</v>
      </c>
      <c r="M139" s="209" t="s">
        <v>494</v>
      </c>
      <c r="N139" s="216">
        <f t="shared" si="50"/>
        <v>46140</v>
      </c>
      <c r="O139" s="148"/>
      <c r="P139" s="269"/>
      <c r="Q139" s="270" t="s">
        <v>29</v>
      </c>
      <c r="R139" s="84">
        <f t="shared" si="51"/>
        <v>434993.076</v>
      </c>
      <c r="S139" s="92">
        <v>7.6999999999999999E-2</v>
      </c>
      <c r="T139" s="162">
        <f t="shared" ca="1" si="52"/>
        <v>52</v>
      </c>
      <c r="U139" s="85">
        <f t="shared" ca="1" si="53"/>
        <v>4772</v>
      </c>
      <c r="V139" s="85">
        <f t="shared" ca="1" si="54"/>
        <v>430221.076</v>
      </c>
      <c r="W139" s="17"/>
      <c r="X139" s="6"/>
      <c r="Y139" s="94"/>
      <c r="Z139" s="94"/>
      <c r="AA139" s="20"/>
      <c r="AB139" s="19"/>
      <c r="AC139" s="16" cm="1">
        <f t="array" ref="AC139">_xlfn.IFS(D139="INDUSTOWER","275000000",D139="RELIANCEIN","220000000",D139="SIEMENSLTD","83330000")-I139</f>
        <v>274516674.36000001</v>
      </c>
      <c r="AD139"/>
    </row>
    <row r="140" spans="1:30" x14ac:dyDescent="0.25">
      <c r="A140" s="158">
        <f>SUBTOTAL(3,B$3:B140)</f>
        <v>0</v>
      </c>
      <c r="B140" s="1">
        <f>SUBTOTAL(3,C$3:C140)</f>
        <v>138</v>
      </c>
      <c r="C140" s="83" t="s">
        <v>93</v>
      </c>
      <c r="D140" s="30" t="s">
        <v>27</v>
      </c>
      <c r="E140" s="49" t="s">
        <v>7</v>
      </c>
      <c r="F140" s="211" t="s">
        <v>492</v>
      </c>
      <c r="G140" s="212">
        <v>46140</v>
      </c>
      <c r="H140" s="34" t="s">
        <v>6</v>
      </c>
      <c r="I140" s="214">
        <v>483325.64</v>
      </c>
      <c r="J140" s="161" cm="1">
        <f t="array" ref="J140">_xlfn.IFS(D140="INDUSTOWER","40",D140="RELIANCEIN","44",D140="SIEMENSLTD","120",D140="CLEANMAX","40",D140="AVAADA","40",D140="ARCHTECH","40")+G140</f>
        <v>46180</v>
      </c>
      <c r="K140" s="268">
        <f t="shared" ca="1" si="48"/>
        <v>46148</v>
      </c>
      <c r="L140" s="161">
        <f t="shared" si="49"/>
        <v>46200</v>
      </c>
      <c r="M140" s="209" t="s">
        <v>495</v>
      </c>
      <c r="N140" s="216">
        <f t="shared" si="50"/>
        <v>46140</v>
      </c>
      <c r="O140" s="148"/>
      <c r="P140" s="269"/>
      <c r="Q140" s="270" t="s">
        <v>29</v>
      </c>
      <c r="R140" s="84">
        <f t="shared" si="51"/>
        <v>434993.076</v>
      </c>
      <c r="S140" s="92">
        <v>7.6999999999999999E-2</v>
      </c>
      <c r="T140" s="162">
        <f t="shared" ca="1" si="52"/>
        <v>52</v>
      </c>
      <c r="U140" s="85">
        <f t="shared" ca="1" si="53"/>
        <v>4772</v>
      </c>
      <c r="V140" s="85">
        <f t="shared" ca="1" si="54"/>
        <v>430221.076</v>
      </c>
      <c r="W140" s="17"/>
      <c r="X140" s="6"/>
      <c r="Y140" s="94"/>
      <c r="Z140" s="94"/>
      <c r="AA140" s="20"/>
      <c r="AB140" s="19"/>
      <c r="AC140" s="16" cm="1">
        <f t="array" ref="AC140">_xlfn.IFS(D140="INDUSTOWER","275000000",D140="RELIANCEIN","220000000",D140="SIEMENSLTD","83330000")-I140</f>
        <v>274516674.36000001</v>
      </c>
      <c r="AD140"/>
    </row>
    <row r="141" spans="1:30" x14ac:dyDescent="0.25">
      <c r="A141" s="158">
        <f>SUBTOTAL(3,B$3:B141)</f>
        <v>0</v>
      </c>
      <c r="B141" s="1">
        <f>SUBTOTAL(3,C$3:C141)</f>
        <v>139</v>
      </c>
      <c r="C141" s="83" t="s">
        <v>93</v>
      </c>
      <c r="D141" s="30" t="s">
        <v>27</v>
      </c>
      <c r="E141" s="49" t="s">
        <v>7</v>
      </c>
      <c r="F141" s="211" t="s">
        <v>493</v>
      </c>
      <c r="G141" s="212">
        <v>46140</v>
      </c>
      <c r="H141" s="34" t="s">
        <v>6</v>
      </c>
      <c r="I141" s="214">
        <v>483325.64</v>
      </c>
      <c r="J141" s="161" cm="1">
        <f t="array" ref="J141">_xlfn.IFS(D141="INDUSTOWER","40",D141="RELIANCEIN","44",D141="SIEMENSLTD","120",D141="CLEANMAX","40",D141="AVAADA","40",D141="ARCHTECH","40")+G141</f>
        <v>46180</v>
      </c>
      <c r="K141" s="268">
        <f t="shared" ca="1" si="48"/>
        <v>46148</v>
      </c>
      <c r="L141" s="161">
        <f t="shared" si="49"/>
        <v>46200</v>
      </c>
      <c r="M141" s="209" t="s">
        <v>496</v>
      </c>
      <c r="N141" s="216">
        <f t="shared" si="50"/>
        <v>46140</v>
      </c>
      <c r="O141" s="148"/>
      <c r="P141" s="269"/>
      <c r="Q141" s="270" t="s">
        <v>29</v>
      </c>
      <c r="R141" s="84">
        <f t="shared" si="51"/>
        <v>434993.076</v>
      </c>
      <c r="S141" s="92">
        <v>7.6999999999999999E-2</v>
      </c>
      <c r="T141" s="162">
        <f t="shared" ca="1" si="52"/>
        <v>52</v>
      </c>
      <c r="U141" s="85">
        <f t="shared" ca="1" si="53"/>
        <v>4772</v>
      </c>
      <c r="V141" s="85">
        <f t="shared" ca="1" si="54"/>
        <v>430221.076</v>
      </c>
      <c r="W141" s="17"/>
      <c r="X141" s="6"/>
      <c r="Y141" s="94"/>
      <c r="Z141" s="94"/>
      <c r="AA141" s="20"/>
      <c r="AB141" s="19"/>
      <c r="AC141" s="16" cm="1">
        <f t="array" ref="AC141">_xlfn.IFS(D141="INDUSTOWER","275000000",D141="RELIANCEIN","220000000",D141="SIEMENSLTD","83330000")-I141</f>
        <v>274516674.36000001</v>
      </c>
      <c r="AD141"/>
    </row>
    <row r="142" spans="1:30" x14ac:dyDescent="0.25">
      <c r="A142" s="158">
        <f>SUBTOTAL(3,B$3:B142)</f>
        <v>0</v>
      </c>
      <c r="B142" s="1">
        <f>SUBTOTAL(3,C$3:C142)</f>
        <v>140</v>
      </c>
      <c r="C142" s="83" t="s">
        <v>93</v>
      </c>
      <c r="D142" s="210" t="s">
        <v>472</v>
      </c>
      <c r="E142" s="49" t="s">
        <v>7</v>
      </c>
      <c r="F142" s="211" t="s">
        <v>497</v>
      </c>
      <c r="G142" s="212">
        <v>46141</v>
      </c>
      <c r="H142" s="34" t="s">
        <v>6</v>
      </c>
      <c r="I142" s="214">
        <v>2493888.65</v>
      </c>
      <c r="J142" s="161" cm="1">
        <f t="array" ref="J142">_xlfn.IFS(D142="INDUSTOWER","40",D142="RELIANCEIN","44",D142="SIEMENSLTD","120",D142="CLEANMAX","40",D142="AVAADA","40",D142="ARCHTECH","40")+G142</f>
        <v>46181</v>
      </c>
      <c r="K142" s="268">
        <f t="shared" ca="1" si="48"/>
        <v>46148</v>
      </c>
      <c r="L142" s="161">
        <f t="shared" si="49"/>
        <v>46201</v>
      </c>
      <c r="M142" s="209" t="s">
        <v>510</v>
      </c>
      <c r="N142" s="216">
        <f t="shared" si="50"/>
        <v>46141</v>
      </c>
      <c r="O142" s="148"/>
      <c r="P142" s="269"/>
      <c r="Q142" s="270" t="s">
        <v>521</v>
      </c>
      <c r="R142" s="84">
        <f t="shared" si="51"/>
        <v>2244499.7850000001</v>
      </c>
      <c r="S142" s="92">
        <v>7.6999999999999999E-2</v>
      </c>
      <c r="T142" s="162">
        <f t="shared" ca="1" si="52"/>
        <v>53</v>
      </c>
      <c r="U142" s="85">
        <f t="shared" ca="1" si="53"/>
        <v>25095</v>
      </c>
      <c r="V142" s="85">
        <f t="shared" ca="1" si="54"/>
        <v>2219404.7850000001</v>
      </c>
      <c r="W142" s="17"/>
      <c r="X142" s="6"/>
      <c r="Y142" s="94"/>
      <c r="Z142" s="94"/>
      <c r="AA142" s="20"/>
      <c r="AB142" s="19"/>
      <c r="AC142" s="16" t="e" cm="1">
        <f t="array" ref="AC142">_xlfn.IFS(D142="INDUSTOWER","275000000",D142="RELIANCEIN","220000000",D142="SIEMENSLTD","83330000")-I142</f>
        <v>#N/A</v>
      </c>
      <c r="AD142"/>
    </row>
    <row r="143" spans="1:30" x14ac:dyDescent="0.25">
      <c r="A143" s="158">
        <f>SUBTOTAL(3,B$3:B143)</f>
        <v>0</v>
      </c>
      <c r="B143" s="1">
        <f>SUBTOTAL(3,C$3:C143)</f>
        <v>141</v>
      </c>
      <c r="C143" s="83" t="s">
        <v>93</v>
      </c>
      <c r="D143" s="210" t="s">
        <v>472</v>
      </c>
      <c r="E143" s="49" t="s">
        <v>7</v>
      </c>
      <c r="F143" s="211" t="s">
        <v>498</v>
      </c>
      <c r="G143" s="212">
        <v>46141</v>
      </c>
      <c r="H143" s="34" t="s">
        <v>6</v>
      </c>
      <c r="I143" s="214">
        <v>2493888.65</v>
      </c>
      <c r="J143" s="161" cm="1">
        <f t="array" ref="J143">_xlfn.IFS(D143="INDUSTOWER","40",D143="RELIANCEIN","44",D143="SIEMENSLTD","120",D143="CLEANMAX","40",D143="AVAADA","40",D143="ARCHTECH","40")+G143</f>
        <v>46181</v>
      </c>
      <c r="K143" s="268">
        <f t="shared" ca="1" si="48"/>
        <v>46148</v>
      </c>
      <c r="L143" s="161">
        <f t="shared" si="49"/>
        <v>46201</v>
      </c>
      <c r="M143" s="209" t="s">
        <v>83</v>
      </c>
      <c r="N143" s="216">
        <f t="shared" si="50"/>
        <v>46141</v>
      </c>
      <c r="O143" s="148"/>
      <c r="P143" s="269"/>
      <c r="Q143" s="270" t="s">
        <v>521</v>
      </c>
      <c r="R143" s="84">
        <f t="shared" si="51"/>
        <v>2244499.7850000001</v>
      </c>
      <c r="S143" s="92">
        <v>7.6999999999999999E-2</v>
      </c>
      <c r="T143" s="162">
        <f t="shared" ca="1" si="52"/>
        <v>53</v>
      </c>
      <c r="U143" s="85">
        <f t="shared" ca="1" si="53"/>
        <v>25095</v>
      </c>
      <c r="V143" s="85">
        <f t="shared" ca="1" si="54"/>
        <v>2219404.7850000001</v>
      </c>
      <c r="W143" s="17"/>
      <c r="X143" s="6"/>
      <c r="Y143" s="94"/>
      <c r="Z143" s="94"/>
      <c r="AA143" s="20"/>
      <c r="AB143" s="19"/>
      <c r="AC143" s="16" t="e" cm="1">
        <f t="array" ref="AC143">_xlfn.IFS(D143="INDUSTOWER","275000000",D143="RELIANCEIN","220000000",D143="SIEMENSLTD","83330000")-I143</f>
        <v>#N/A</v>
      </c>
      <c r="AD143"/>
    </row>
    <row r="144" spans="1:30" x14ac:dyDescent="0.25">
      <c r="A144" s="158">
        <f>SUBTOTAL(3,B$3:B144)</f>
        <v>0</v>
      </c>
      <c r="B144" s="1">
        <f>SUBTOTAL(3,C$3:C144)</f>
        <v>142</v>
      </c>
      <c r="C144" s="83" t="s">
        <v>93</v>
      </c>
      <c r="D144" s="210" t="s">
        <v>472</v>
      </c>
      <c r="E144" s="49" t="s">
        <v>7</v>
      </c>
      <c r="F144" s="211" t="s">
        <v>499</v>
      </c>
      <c r="G144" s="212">
        <v>46141</v>
      </c>
      <c r="H144" s="34" t="s">
        <v>6</v>
      </c>
      <c r="I144" s="214">
        <v>2540071.7799999998</v>
      </c>
      <c r="J144" s="161" cm="1">
        <f t="array" ref="J144">_xlfn.IFS(D144="INDUSTOWER","40",D144="RELIANCEIN","44",D144="SIEMENSLTD","120",D144="CLEANMAX","40",D144="AVAADA","40",D144="ARCHTECH","40")+G144</f>
        <v>46181</v>
      </c>
      <c r="K144" s="268">
        <f t="shared" ca="1" si="48"/>
        <v>46148</v>
      </c>
      <c r="L144" s="161">
        <f t="shared" si="49"/>
        <v>46201</v>
      </c>
      <c r="M144" s="209" t="s">
        <v>511</v>
      </c>
      <c r="N144" s="216">
        <f t="shared" si="50"/>
        <v>46141</v>
      </c>
      <c r="O144" s="148"/>
      <c r="P144" s="269"/>
      <c r="Q144" s="270" t="s">
        <v>521</v>
      </c>
      <c r="R144" s="84">
        <f t="shared" si="51"/>
        <v>2286064.602</v>
      </c>
      <c r="S144" s="92">
        <v>7.6999999999999999E-2</v>
      </c>
      <c r="T144" s="162">
        <f t="shared" ca="1" si="52"/>
        <v>53</v>
      </c>
      <c r="U144" s="85">
        <f t="shared" ca="1" si="53"/>
        <v>25560</v>
      </c>
      <c r="V144" s="85">
        <f t="shared" ca="1" si="54"/>
        <v>2260504.602</v>
      </c>
      <c r="W144" s="17"/>
      <c r="X144" s="6"/>
      <c r="Y144" s="94"/>
      <c r="Z144" s="94"/>
      <c r="AA144" s="20"/>
      <c r="AB144" s="19"/>
      <c r="AC144" s="16" t="e" cm="1">
        <f t="array" ref="AC144">_xlfn.IFS(D144="INDUSTOWER","275000000",D144="RELIANCEIN","220000000",D144="SIEMENSLTD","83330000")-I144</f>
        <v>#N/A</v>
      </c>
      <c r="AD144"/>
    </row>
    <row r="145" spans="1:30" x14ac:dyDescent="0.25">
      <c r="A145" s="158">
        <f>SUBTOTAL(3,B$3:B145)</f>
        <v>0</v>
      </c>
      <c r="B145" s="1">
        <f>SUBTOTAL(3,C$3:C145)</f>
        <v>143</v>
      </c>
      <c r="C145" s="83" t="s">
        <v>93</v>
      </c>
      <c r="D145" s="210" t="s">
        <v>472</v>
      </c>
      <c r="E145" s="49" t="s">
        <v>7</v>
      </c>
      <c r="F145" s="211" t="s">
        <v>500</v>
      </c>
      <c r="G145" s="212">
        <v>46141</v>
      </c>
      <c r="H145" s="34" t="s">
        <v>6</v>
      </c>
      <c r="I145" s="214">
        <v>3071177.69</v>
      </c>
      <c r="J145" s="161" cm="1">
        <f t="array" ref="J145">_xlfn.IFS(D145="INDUSTOWER","40",D145="RELIANCEIN","44",D145="SIEMENSLTD","120",D145="CLEANMAX","40",D145="AVAADA","40",D145="ARCHTECH","40")+G145</f>
        <v>46181</v>
      </c>
      <c r="K145" s="268">
        <f t="shared" ca="1" si="48"/>
        <v>46148</v>
      </c>
      <c r="L145" s="161">
        <f t="shared" si="49"/>
        <v>46201</v>
      </c>
      <c r="M145" s="209" t="s">
        <v>88</v>
      </c>
      <c r="N145" s="216">
        <f t="shared" si="50"/>
        <v>46141</v>
      </c>
      <c r="O145" s="148"/>
      <c r="P145" s="269"/>
      <c r="Q145" s="270" t="s">
        <v>521</v>
      </c>
      <c r="R145" s="84">
        <f t="shared" si="51"/>
        <v>2764059.9210000001</v>
      </c>
      <c r="S145" s="92">
        <v>7.6999999999999999E-2</v>
      </c>
      <c r="T145" s="162">
        <f t="shared" ca="1" si="52"/>
        <v>53</v>
      </c>
      <c r="U145" s="85">
        <f t="shared" ca="1" si="53"/>
        <v>30904</v>
      </c>
      <c r="V145" s="85">
        <f t="shared" ca="1" si="54"/>
        <v>2733155.9210000001</v>
      </c>
      <c r="W145" s="17"/>
      <c r="X145" s="6"/>
      <c r="Y145" s="94"/>
      <c r="Z145" s="94"/>
      <c r="AA145" s="20"/>
      <c r="AB145" s="19"/>
      <c r="AC145" s="16" t="e" cm="1">
        <f t="array" ref="AC145">_xlfn.IFS(D145="INDUSTOWER","275000000",D145="RELIANCEIN","220000000",D145="SIEMENSLTD","83330000")-I145</f>
        <v>#N/A</v>
      </c>
      <c r="AD145"/>
    </row>
    <row r="146" spans="1:30" x14ac:dyDescent="0.25">
      <c r="A146" s="158">
        <f>SUBTOTAL(3,B$3:B146)</f>
        <v>0</v>
      </c>
      <c r="B146" s="1">
        <f>SUBTOTAL(3,C$3:C146)</f>
        <v>144</v>
      </c>
      <c r="C146" s="83" t="s">
        <v>93</v>
      </c>
      <c r="D146" s="210" t="s">
        <v>472</v>
      </c>
      <c r="E146" s="49" t="s">
        <v>7</v>
      </c>
      <c r="F146" s="211" t="s">
        <v>501</v>
      </c>
      <c r="G146" s="212">
        <v>46141</v>
      </c>
      <c r="H146" s="34" t="s">
        <v>6</v>
      </c>
      <c r="I146" s="214">
        <v>2955719.88</v>
      </c>
      <c r="J146" s="161" cm="1">
        <f t="array" ref="J146">_xlfn.IFS(D146="INDUSTOWER","40",D146="RELIANCEIN","44",D146="SIEMENSLTD","120",D146="CLEANMAX","40",D146="AVAADA","40",D146="ARCHTECH","40")+G146</f>
        <v>46181</v>
      </c>
      <c r="K146" s="268">
        <f t="shared" ca="1" si="48"/>
        <v>46148</v>
      </c>
      <c r="L146" s="161">
        <f t="shared" si="49"/>
        <v>46201</v>
      </c>
      <c r="M146" s="209" t="s">
        <v>512</v>
      </c>
      <c r="N146" s="216">
        <f t="shared" si="50"/>
        <v>46141</v>
      </c>
      <c r="O146" s="148"/>
      <c r="P146" s="269"/>
      <c r="Q146" s="270" t="s">
        <v>521</v>
      </c>
      <c r="R146" s="84">
        <f t="shared" si="51"/>
        <v>2660147.892</v>
      </c>
      <c r="S146" s="92">
        <v>7.6999999999999999E-2</v>
      </c>
      <c r="T146" s="162">
        <f t="shared" ca="1" si="52"/>
        <v>53</v>
      </c>
      <c r="U146" s="85">
        <f t="shared" ca="1" si="53"/>
        <v>29743</v>
      </c>
      <c r="V146" s="85">
        <f t="shared" ca="1" si="54"/>
        <v>2630404.892</v>
      </c>
      <c r="W146" s="17"/>
      <c r="X146" s="6"/>
      <c r="Y146" s="94"/>
      <c r="Z146" s="94"/>
      <c r="AA146" s="20"/>
      <c r="AB146" s="19"/>
      <c r="AC146" s="16" t="e" cm="1">
        <f t="array" ref="AC146">_xlfn.IFS(D146="INDUSTOWER","275000000",D146="RELIANCEIN","220000000",D146="SIEMENSLTD","83330000")-I146</f>
        <v>#N/A</v>
      </c>
      <c r="AD146"/>
    </row>
    <row r="147" spans="1:30" x14ac:dyDescent="0.25">
      <c r="A147" s="158">
        <f>SUBTOTAL(3,B$3:B147)</f>
        <v>0</v>
      </c>
      <c r="B147" s="1">
        <f>SUBTOTAL(3,C$3:C147)</f>
        <v>145</v>
      </c>
      <c r="C147" s="83" t="s">
        <v>93</v>
      </c>
      <c r="D147" s="210" t="s">
        <v>472</v>
      </c>
      <c r="E147" s="49" t="s">
        <v>7</v>
      </c>
      <c r="F147" s="211" t="s">
        <v>502</v>
      </c>
      <c r="G147" s="212">
        <v>46141</v>
      </c>
      <c r="H147" s="34" t="s">
        <v>6</v>
      </c>
      <c r="I147" s="214">
        <v>2911461.06</v>
      </c>
      <c r="J147" s="161" cm="1">
        <f t="array" ref="J147">_xlfn.IFS(D147="INDUSTOWER","40",D147="RELIANCEIN","44",D147="SIEMENSLTD","120",D147="CLEANMAX","40",D147="AVAADA","40",D147="ARCHTECH","40")+G147</f>
        <v>46181</v>
      </c>
      <c r="K147" s="268">
        <f t="shared" ca="1" si="48"/>
        <v>46148</v>
      </c>
      <c r="L147" s="161">
        <f t="shared" si="49"/>
        <v>46201</v>
      </c>
      <c r="M147" s="209" t="s">
        <v>513</v>
      </c>
      <c r="N147" s="216">
        <f t="shared" si="50"/>
        <v>46141</v>
      </c>
      <c r="O147" s="148"/>
      <c r="P147" s="269"/>
      <c r="Q147" s="270" t="s">
        <v>521</v>
      </c>
      <c r="R147" s="84">
        <f t="shared" si="51"/>
        <v>2620314.9539999999</v>
      </c>
      <c r="S147" s="92">
        <v>7.6999999999999999E-2</v>
      </c>
      <c r="T147" s="162">
        <f t="shared" ca="1" si="52"/>
        <v>53</v>
      </c>
      <c r="U147" s="85">
        <f t="shared" ca="1" si="53"/>
        <v>29297</v>
      </c>
      <c r="V147" s="85">
        <f t="shared" ca="1" si="54"/>
        <v>2591017.9539999999</v>
      </c>
      <c r="W147" s="17"/>
      <c r="X147" s="6"/>
      <c r="Y147" s="94"/>
      <c r="Z147" s="94"/>
      <c r="AA147" s="20"/>
      <c r="AB147" s="19"/>
      <c r="AC147" s="16" t="e" cm="1">
        <f t="array" ref="AC147">_xlfn.IFS(D147="INDUSTOWER","275000000",D147="RELIANCEIN","220000000",D147="SIEMENSLTD","83330000")-I147</f>
        <v>#N/A</v>
      </c>
      <c r="AD147"/>
    </row>
    <row r="148" spans="1:30" x14ac:dyDescent="0.25">
      <c r="A148" s="158">
        <f>SUBTOTAL(3,B$3:B148)</f>
        <v>0</v>
      </c>
      <c r="B148" s="1">
        <f>SUBTOTAL(3,C$3:C148)</f>
        <v>146</v>
      </c>
      <c r="C148" s="83" t="s">
        <v>93</v>
      </c>
      <c r="D148" s="210" t="s">
        <v>472</v>
      </c>
      <c r="E148" s="49" t="s">
        <v>7</v>
      </c>
      <c r="F148" s="211" t="s">
        <v>503</v>
      </c>
      <c r="G148" s="212">
        <v>46141</v>
      </c>
      <c r="H148" s="34" t="s">
        <v>6</v>
      </c>
      <c r="I148" s="214">
        <v>2976887.15</v>
      </c>
      <c r="J148" s="161" cm="1">
        <f t="array" ref="J148">_xlfn.IFS(D148="INDUSTOWER","40",D148="RELIANCEIN","44",D148="SIEMENSLTD","120",D148="CLEANMAX","40",D148="AVAADA","40",D148="ARCHTECH","40")+G148</f>
        <v>46181</v>
      </c>
      <c r="K148" s="268">
        <f t="shared" ca="1" si="48"/>
        <v>46148</v>
      </c>
      <c r="L148" s="161">
        <f t="shared" si="49"/>
        <v>46201</v>
      </c>
      <c r="M148" s="209" t="s">
        <v>514</v>
      </c>
      <c r="N148" s="216">
        <f t="shared" si="50"/>
        <v>46141</v>
      </c>
      <c r="O148" s="148"/>
      <c r="P148" s="269"/>
      <c r="Q148" s="270" t="s">
        <v>521</v>
      </c>
      <c r="R148" s="84">
        <f t="shared" si="51"/>
        <v>2679198.4350000001</v>
      </c>
      <c r="S148" s="92">
        <v>7.6999999999999999E-2</v>
      </c>
      <c r="T148" s="162">
        <f t="shared" ca="1" si="52"/>
        <v>53</v>
      </c>
      <c r="U148" s="85">
        <f t="shared" ca="1" si="53"/>
        <v>29956</v>
      </c>
      <c r="V148" s="85">
        <f t="shared" ca="1" si="54"/>
        <v>2649242.4350000001</v>
      </c>
      <c r="W148" s="17"/>
      <c r="X148" s="6"/>
      <c r="Y148" s="94"/>
      <c r="Z148" s="94"/>
      <c r="AA148" s="20"/>
      <c r="AB148" s="19"/>
      <c r="AC148" s="16" t="e" cm="1">
        <f t="array" ref="AC148">_xlfn.IFS(D148="INDUSTOWER","275000000",D148="RELIANCEIN","220000000",D148="SIEMENSLTD","83330000")-I148</f>
        <v>#N/A</v>
      </c>
      <c r="AD148"/>
    </row>
    <row r="149" spans="1:30" x14ac:dyDescent="0.25">
      <c r="A149" s="158">
        <f>SUBTOTAL(3,B$3:B149)</f>
        <v>0</v>
      </c>
      <c r="B149" s="1">
        <f>SUBTOTAL(3,C$3:C149)</f>
        <v>147</v>
      </c>
      <c r="C149" s="83" t="s">
        <v>93</v>
      </c>
      <c r="D149" s="210" t="s">
        <v>24</v>
      </c>
      <c r="E149" s="49" t="s">
        <v>7</v>
      </c>
      <c r="F149" s="211" t="s">
        <v>504</v>
      </c>
      <c r="G149" s="212">
        <v>46141</v>
      </c>
      <c r="H149" s="34" t="s">
        <v>6</v>
      </c>
      <c r="I149" s="214">
        <v>766484.34</v>
      </c>
      <c r="J149" s="161" cm="1">
        <f t="array" ref="J149">_xlfn.IFS(D149="INDUSTOWER","40",D149="RELIANCEIN","44",D149="SIEMENSLTD","120",D149="CLEANMAX","40",D149="AVAADA","40",D149="ARCHTECH","40")+G149</f>
        <v>46185</v>
      </c>
      <c r="K149" s="268">
        <f t="shared" ca="1" si="48"/>
        <v>46148</v>
      </c>
      <c r="L149" s="161">
        <f t="shared" si="49"/>
        <v>46205</v>
      </c>
      <c r="M149" s="209" t="s">
        <v>515</v>
      </c>
      <c r="N149" s="216">
        <f t="shared" si="50"/>
        <v>46141</v>
      </c>
      <c r="O149" s="148"/>
      <c r="P149" s="269"/>
      <c r="Q149" s="270" t="s">
        <v>198</v>
      </c>
      <c r="R149" s="84">
        <f t="shared" si="51"/>
        <v>689835.90599999996</v>
      </c>
      <c r="S149" s="92">
        <v>7.6999999999999999E-2</v>
      </c>
      <c r="T149" s="162">
        <f t="shared" ca="1" si="52"/>
        <v>57</v>
      </c>
      <c r="U149" s="85">
        <f t="shared" ca="1" si="53"/>
        <v>8295</v>
      </c>
      <c r="V149" s="85">
        <f t="shared" ca="1" si="54"/>
        <v>681540.90599999996</v>
      </c>
      <c r="W149" s="17"/>
      <c r="X149" s="6"/>
      <c r="Y149" s="94"/>
      <c r="Z149" s="94"/>
      <c r="AA149" s="20"/>
      <c r="AB149" s="19"/>
      <c r="AC149" s="16" cm="1">
        <f t="array" ref="AC149">_xlfn.IFS(D149="INDUSTOWER","275000000",D149="RELIANCEIN","220000000",D149="SIEMENSLTD","83330000")-I149</f>
        <v>219233515.66</v>
      </c>
      <c r="AD149"/>
    </row>
    <row r="150" spans="1:30" x14ac:dyDescent="0.25">
      <c r="A150" s="158">
        <f>SUBTOTAL(3,B$3:B150)</f>
        <v>0</v>
      </c>
      <c r="B150" s="1">
        <f>SUBTOTAL(3,C$3:C150)</f>
        <v>148</v>
      </c>
      <c r="C150" s="83" t="s">
        <v>93</v>
      </c>
      <c r="D150" s="210" t="s">
        <v>24</v>
      </c>
      <c r="E150" s="49" t="s">
        <v>7</v>
      </c>
      <c r="F150" s="211" t="s">
        <v>505</v>
      </c>
      <c r="G150" s="212">
        <v>46141</v>
      </c>
      <c r="H150" s="34" t="s">
        <v>6</v>
      </c>
      <c r="I150" s="214">
        <v>1151810.98</v>
      </c>
      <c r="J150" s="161" cm="1">
        <f t="array" ref="J150">_xlfn.IFS(D150="INDUSTOWER","40",D150="RELIANCEIN","44",D150="SIEMENSLTD","120",D150="CLEANMAX","40",D150="AVAADA","40",D150="ARCHTECH","40")+G150</f>
        <v>46185</v>
      </c>
      <c r="K150" s="268">
        <f t="shared" ca="1" si="48"/>
        <v>46148</v>
      </c>
      <c r="L150" s="161">
        <f t="shared" si="49"/>
        <v>46205</v>
      </c>
      <c r="M150" s="209" t="s">
        <v>516</v>
      </c>
      <c r="N150" s="216">
        <f t="shared" si="50"/>
        <v>46141</v>
      </c>
      <c r="O150" s="148"/>
      <c r="P150" s="269"/>
      <c r="Q150" s="270" t="s">
        <v>26</v>
      </c>
      <c r="R150" s="84">
        <f t="shared" si="51"/>
        <v>1036629.882</v>
      </c>
      <c r="S150" s="92">
        <v>7.6999999999999999E-2</v>
      </c>
      <c r="T150" s="162">
        <f t="shared" ca="1" si="52"/>
        <v>57</v>
      </c>
      <c r="U150" s="85">
        <f t="shared" ca="1" si="53"/>
        <v>12465</v>
      </c>
      <c r="V150" s="85">
        <f t="shared" ca="1" si="54"/>
        <v>1024164.882</v>
      </c>
      <c r="W150" s="17"/>
      <c r="X150" s="6"/>
      <c r="Y150" s="94"/>
      <c r="Z150" s="94"/>
      <c r="AA150" s="20"/>
      <c r="AB150" s="19"/>
      <c r="AC150" s="16" cm="1">
        <f t="array" ref="AC150">_xlfn.IFS(D150="INDUSTOWER","275000000",D150="RELIANCEIN","220000000",D150="SIEMENSLTD","83330000")-I150</f>
        <v>218848189.02000001</v>
      </c>
      <c r="AD150"/>
    </row>
    <row r="151" spans="1:30" x14ac:dyDescent="0.25">
      <c r="A151" s="158">
        <f>SUBTOTAL(3,B$3:B151)</f>
        <v>0</v>
      </c>
      <c r="B151" s="1">
        <f>SUBTOTAL(3,C$3:C151)</f>
        <v>149</v>
      </c>
      <c r="C151" s="83" t="s">
        <v>93</v>
      </c>
      <c r="D151" s="210" t="s">
        <v>24</v>
      </c>
      <c r="E151" s="49" t="s">
        <v>7</v>
      </c>
      <c r="F151" s="211" t="s">
        <v>506</v>
      </c>
      <c r="G151" s="212">
        <v>46141</v>
      </c>
      <c r="H151" s="34" t="s">
        <v>6</v>
      </c>
      <c r="I151" s="214">
        <v>937604.4</v>
      </c>
      <c r="J151" s="161" cm="1">
        <f t="array" ref="J151">_xlfn.IFS(D151="INDUSTOWER","40",D151="RELIANCEIN","44",D151="SIEMENSLTD","120",D151="CLEANMAX","40",D151="AVAADA","40",D151="ARCHTECH","40")+G151</f>
        <v>46185</v>
      </c>
      <c r="K151" s="268">
        <f t="shared" ca="1" si="48"/>
        <v>46148</v>
      </c>
      <c r="L151" s="161">
        <f t="shared" si="49"/>
        <v>46205</v>
      </c>
      <c r="M151" s="209" t="s">
        <v>517</v>
      </c>
      <c r="N151" s="216">
        <f t="shared" si="50"/>
        <v>46141</v>
      </c>
      <c r="O151" s="148"/>
      <c r="P151" s="269"/>
      <c r="Q151" s="270" t="s">
        <v>196</v>
      </c>
      <c r="R151" s="84">
        <f t="shared" si="51"/>
        <v>843843.96000000008</v>
      </c>
      <c r="S151" s="92">
        <v>7.6999999999999999E-2</v>
      </c>
      <c r="T151" s="162">
        <f t="shared" ca="1" si="52"/>
        <v>57</v>
      </c>
      <c r="U151" s="85">
        <f t="shared" ca="1" si="53"/>
        <v>10147</v>
      </c>
      <c r="V151" s="85">
        <f t="shared" ca="1" si="54"/>
        <v>833696.96000000008</v>
      </c>
      <c r="W151" s="17"/>
      <c r="X151" s="6"/>
      <c r="Y151" s="94"/>
      <c r="Z151" s="94"/>
      <c r="AA151" s="20"/>
      <c r="AB151" s="19"/>
      <c r="AC151" s="16" cm="1">
        <f t="array" ref="AC151">_xlfn.IFS(D151="INDUSTOWER","275000000",D151="RELIANCEIN","220000000",D151="SIEMENSLTD","83330000")-I151</f>
        <v>219062395.59999999</v>
      </c>
      <c r="AD151"/>
    </row>
    <row r="152" spans="1:30" x14ac:dyDescent="0.25">
      <c r="A152" s="158">
        <f>SUBTOTAL(3,B$3:B152)</f>
        <v>0</v>
      </c>
      <c r="B152" s="1">
        <f>SUBTOTAL(3,C$3:C152)</f>
        <v>150</v>
      </c>
      <c r="C152" s="83" t="s">
        <v>93</v>
      </c>
      <c r="D152" s="210" t="s">
        <v>472</v>
      </c>
      <c r="E152" s="49" t="s">
        <v>7</v>
      </c>
      <c r="F152" s="211" t="s">
        <v>507</v>
      </c>
      <c r="G152" s="212">
        <v>46141</v>
      </c>
      <c r="H152" s="34" t="s">
        <v>6</v>
      </c>
      <c r="I152" s="214">
        <v>2909536.76</v>
      </c>
      <c r="J152" s="161" cm="1">
        <f t="array" ref="J152">_xlfn.IFS(D152="INDUSTOWER","40",D152="RELIANCEIN","44",D152="SIEMENSLTD","120",D152="CLEANMAX","40",D152="AVAADA","40",D152="ARCHTECH","40")+G152</f>
        <v>46181</v>
      </c>
      <c r="K152" s="268">
        <f t="shared" ca="1" si="48"/>
        <v>46148</v>
      </c>
      <c r="L152" s="161">
        <f t="shared" si="49"/>
        <v>46201</v>
      </c>
      <c r="M152" s="209" t="s">
        <v>518</v>
      </c>
      <c r="N152" s="216">
        <f t="shared" si="50"/>
        <v>46141</v>
      </c>
      <c r="O152" s="148"/>
      <c r="P152" s="269"/>
      <c r="Q152" s="270" t="s">
        <v>521</v>
      </c>
      <c r="R152" s="84">
        <f t="shared" si="51"/>
        <v>2618583.0839999998</v>
      </c>
      <c r="S152" s="92">
        <v>7.6999999999999999E-2</v>
      </c>
      <c r="T152" s="162">
        <f t="shared" ca="1" si="52"/>
        <v>53</v>
      </c>
      <c r="U152" s="85">
        <f t="shared" ca="1" si="53"/>
        <v>29278</v>
      </c>
      <c r="V152" s="85">
        <f t="shared" ca="1" si="54"/>
        <v>2589305.0839999998</v>
      </c>
      <c r="W152" s="17"/>
      <c r="X152" s="6"/>
      <c r="Y152" s="94"/>
      <c r="Z152" s="94"/>
      <c r="AA152" s="20"/>
      <c r="AB152" s="19"/>
      <c r="AC152" s="16" t="e" cm="1">
        <f t="array" ref="AC152">_xlfn.IFS(D152="INDUSTOWER","275000000",D152="RELIANCEIN","220000000",D152="SIEMENSLTD","83330000")-I152</f>
        <v>#N/A</v>
      </c>
      <c r="AD152"/>
    </row>
    <row r="153" spans="1:30" x14ac:dyDescent="0.25">
      <c r="A153" s="158">
        <f>SUBTOTAL(3,B$3:B153)</f>
        <v>0</v>
      </c>
      <c r="B153" s="1">
        <f>SUBTOTAL(3,C$3:C153)</f>
        <v>151</v>
      </c>
      <c r="C153" s="83" t="s">
        <v>93</v>
      </c>
      <c r="D153" s="210" t="s">
        <v>27</v>
      </c>
      <c r="E153" s="49" t="s">
        <v>7</v>
      </c>
      <c r="F153" s="211" t="s">
        <v>508</v>
      </c>
      <c r="G153" s="212">
        <v>46141</v>
      </c>
      <c r="H153" s="34" t="s">
        <v>6</v>
      </c>
      <c r="I153" s="214">
        <v>684578.18</v>
      </c>
      <c r="J153" s="161" cm="1">
        <f t="array" ref="J153">_xlfn.IFS(D153="INDUSTOWER","40",D153="RELIANCEIN","44",D153="SIEMENSLTD","120",D153="CLEANMAX","40",D153="AVAADA","40",D153="ARCHTECH","40")+G153</f>
        <v>46181</v>
      </c>
      <c r="K153" s="268">
        <f t="shared" ca="1" si="48"/>
        <v>46148</v>
      </c>
      <c r="L153" s="161">
        <f t="shared" si="49"/>
        <v>46201</v>
      </c>
      <c r="M153" s="209" t="s">
        <v>519</v>
      </c>
      <c r="N153" s="216">
        <f t="shared" si="50"/>
        <v>46141</v>
      </c>
      <c r="O153" s="148"/>
      <c r="P153" s="269"/>
      <c r="Q153" s="270" t="s">
        <v>70</v>
      </c>
      <c r="R153" s="84">
        <f t="shared" si="51"/>
        <v>616120.36200000008</v>
      </c>
      <c r="S153" s="92">
        <v>7.6999999999999999E-2</v>
      </c>
      <c r="T153" s="162">
        <f t="shared" ca="1" si="52"/>
        <v>53</v>
      </c>
      <c r="U153" s="85">
        <f t="shared" ca="1" si="53"/>
        <v>6889</v>
      </c>
      <c r="V153" s="85">
        <f t="shared" ca="1" si="54"/>
        <v>609231.36200000008</v>
      </c>
      <c r="W153" s="17"/>
      <c r="X153" s="6"/>
      <c r="Y153" s="94"/>
      <c r="Z153" s="94"/>
      <c r="AA153" s="20"/>
      <c r="AB153" s="19"/>
      <c r="AC153" s="16" cm="1">
        <f t="array" ref="AC153">_xlfn.IFS(D153="INDUSTOWER","275000000",D153="RELIANCEIN","220000000",D153="SIEMENSLTD","83330000")-I153</f>
        <v>274315421.81999999</v>
      </c>
      <c r="AD153"/>
    </row>
    <row r="154" spans="1:30" x14ac:dyDescent="0.25">
      <c r="A154" s="164">
        <f>SUBTOTAL(3,B$3:B259)</f>
        <v>0</v>
      </c>
      <c r="B154" s="6">
        <f>SUBTOTAL(3,C$3:C259)</f>
        <v>257</v>
      </c>
      <c r="C154" s="83" t="s">
        <v>93</v>
      </c>
      <c r="D154" s="210" t="s">
        <v>472</v>
      </c>
      <c r="E154" s="49" t="s">
        <v>7</v>
      </c>
      <c r="F154" s="211" t="s">
        <v>509</v>
      </c>
      <c r="G154" s="212">
        <v>46141</v>
      </c>
      <c r="H154" s="34" t="s">
        <v>6</v>
      </c>
      <c r="I154" s="214">
        <v>2532374.59</v>
      </c>
      <c r="J154" s="161" cm="1">
        <f t="array" ref="J154">_xlfn.IFS(D154="INDUSTOWER","40",D154="RELIANCEIN","44",D154="SIEMENSLTD","120",D154="CLEANMAX","40",D154="AVAADA","40",D154="ARCHTECH","40")+G154</f>
        <v>46181</v>
      </c>
      <c r="K154" s="268">
        <f t="shared" ca="1" si="48"/>
        <v>46148</v>
      </c>
      <c r="L154" s="161">
        <f t="shared" si="49"/>
        <v>46201</v>
      </c>
      <c r="M154" s="209" t="s">
        <v>520</v>
      </c>
      <c r="N154" s="216">
        <f t="shared" si="50"/>
        <v>46141</v>
      </c>
      <c r="O154" s="148"/>
      <c r="P154" s="269"/>
      <c r="Q154" s="270" t="s">
        <v>521</v>
      </c>
      <c r="R154" s="84">
        <f t="shared" si="51"/>
        <v>2279137.1310000001</v>
      </c>
      <c r="S154" s="92">
        <v>7.6999999999999999E-2</v>
      </c>
      <c r="T154" s="162">
        <f t="shared" ca="1" si="52"/>
        <v>53</v>
      </c>
      <c r="U154" s="85">
        <f t="shared" ca="1" si="53"/>
        <v>25483</v>
      </c>
      <c r="V154" s="85">
        <f t="shared" ca="1" si="54"/>
        <v>2253654.1310000001</v>
      </c>
      <c r="W154" s="17"/>
      <c r="X154" s="6"/>
      <c r="Y154" s="94"/>
      <c r="Z154" s="94"/>
      <c r="AA154" s="20"/>
      <c r="AB154" s="19"/>
      <c r="AC154" s="16" t="e" cm="1">
        <f t="array" ref="AC154">_xlfn.IFS(D154="INDUSTOWER","275000000",D154="RELIANCEIN","220000000",D154="SIEMENSLTD","83330000")-I154</f>
        <v>#N/A</v>
      </c>
      <c r="AD154"/>
    </row>
    <row r="155" spans="1:30" x14ac:dyDescent="0.25">
      <c r="A155" s="298">
        <f>SUBTOTAL(3,B$3:B155)</f>
        <v>0</v>
      </c>
      <c r="B155" s="299">
        <f>SUBTOTAL(3,C$3:C155)</f>
        <v>153</v>
      </c>
      <c r="C155" s="83" t="s">
        <v>93</v>
      </c>
      <c r="D155" s="302" t="s">
        <v>27</v>
      </c>
      <c r="E155" s="49" t="s">
        <v>7</v>
      </c>
      <c r="F155" s="304" t="s">
        <v>546</v>
      </c>
      <c r="G155" s="306">
        <v>46142</v>
      </c>
      <c r="H155" s="34" t="s">
        <v>6</v>
      </c>
      <c r="I155" s="308">
        <v>661895.04</v>
      </c>
      <c r="J155" s="161" cm="1">
        <f t="array" ref="J155">_xlfn.IFS(D155="INDUSTOWER","40",D155="RELIANCEIN","44",D155="SIEMENSLTD","120",D155="CLEANMAX","40",D155="AVAADA","40",D155="ARCHTECH","40")+G155</f>
        <v>46182</v>
      </c>
      <c r="K155" s="268">
        <f t="shared" ca="1" si="48"/>
        <v>46148</v>
      </c>
      <c r="L155" s="310">
        <f t="shared" ref="L155:L175" si="55">+J155+20</f>
        <v>46202</v>
      </c>
      <c r="M155" s="300" t="s">
        <v>566</v>
      </c>
      <c r="N155" s="311">
        <f t="shared" ref="N155:N175" si="56">+G155</f>
        <v>46142</v>
      </c>
      <c r="O155" s="313"/>
      <c r="P155" s="314"/>
      <c r="Q155" s="270" t="s">
        <v>70</v>
      </c>
      <c r="R155" s="315">
        <f t="shared" ref="R155:R175" si="57">+I155*0.9</f>
        <v>595705.53600000008</v>
      </c>
      <c r="S155" s="92">
        <v>7.6999999999999999E-2</v>
      </c>
      <c r="T155" s="316">
        <f t="shared" ref="T155:T175" ca="1" si="58">+J155-K155+20</f>
        <v>54</v>
      </c>
      <c r="U155" s="317">
        <f t="shared" ref="U155:U175" ca="1" si="59">ROUND(+R155*S155*T155/365,0)</f>
        <v>6786</v>
      </c>
      <c r="V155" s="318">
        <f t="shared" ref="V155:V175" ca="1" si="60">+R155-U155</f>
        <v>588919.53600000008</v>
      </c>
      <c r="W155" s="319"/>
      <c r="X155" s="320"/>
      <c r="Y155" s="321"/>
      <c r="Z155" s="321"/>
      <c r="AA155" s="322"/>
      <c r="AB155" s="323"/>
      <c r="AC155" s="16" cm="1">
        <f t="array" ref="AC155">_xlfn.IFS(D155="INDUSTOWER","275000000",D155="RELIANCEIN","220000000",D155="SIEMENSLTD","83330000")-I155</f>
        <v>274338104.95999998</v>
      </c>
      <c r="AD155"/>
    </row>
    <row r="156" spans="1:30" x14ac:dyDescent="0.25">
      <c r="A156" s="298">
        <f>SUBTOTAL(3,B$3:B156)</f>
        <v>0</v>
      </c>
      <c r="B156" s="299">
        <f>SUBTOTAL(3,C$3:C156)</f>
        <v>154</v>
      </c>
      <c r="C156" s="83" t="s">
        <v>93</v>
      </c>
      <c r="D156" s="303" t="s">
        <v>27</v>
      </c>
      <c r="E156" s="49" t="s">
        <v>7</v>
      </c>
      <c r="F156" s="305" t="s">
        <v>547</v>
      </c>
      <c r="G156" s="307">
        <v>46142</v>
      </c>
      <c r="H156" s="34" t="s">
        <v>6</v>
      </c>
      <c r="I156" s="309">
        <v>661895.04</v>
      </c>
      <c r="J156" s="161" cm="1">
        <f t="array" ref="J156">_xlfn.IFS(D156="INDUSTOWER","40",D156="RELIANCEIN","44",D156="SIEMENSLTD","120",D156="CLEANMAX","40",D156="AVAADA","40",D156="ARCHTECH","40")+G156</f>
        <v>46182</v>
      </c>
      <c r="K156" s="268">
        <f t="shared" ca="1" si="48"/>
        <v>46148</v>
      </c>
      <c r="L156" s="310">
        <f t="shared" si="55"/>
        <v>46202</v>
      </c>
      <c r="M156" s="301" t="s">
        <v>567</v>
      </c>
      <c r="N156" s="312">
        <f t="shared" si="56"/>
        <v>46142</v>
      </c>
      <c r="O156" s="313"/>
      <c r="P156" s="314"/>
      <c r="Q156" s="270" t="s">
        <v>70</v>
      </c>
      <c r="R156" s="315">
        <f t="shared" si="57"/>
        <v>595705.53600000008</v>
      </c>
      <c r="S156" s="92">
        <v>7.6999999999999999E-2</v>
      </c>
      <c r="T156" s="316">
        <f t="shared" ca="1" si="58"/>
        <v>54</v>
      </c>
      <c r="U156" s="318">
        <f t="shared" ca="1" si="59"/>
        <v>6786</v>
      </c>
      <c r="V156" s="318">
        <f t="shared" ca="1" si="60"/>
        <v>588919.53600000008</v>
      </c>
      <c r="W156" s="319"/>
      <c r="X156" s="320"/>
      <c r="Y156" s="321"/>
      <c r="Z156" s="321"/>
      <c r="AA156" s="322"/>
      <c r="AB156" s="323"/>
      <c r="AC156" s="16" cm="1">
        <f t="array" ref="AC156">_xlfn.IFS(D156="INDUSTOWER","275000000",D156="RELIANCEIN","220000000",D156="SIEMENSLTD","83330000")-I156</f>
        <v>274338104.95999998</v>
      </c>
      <c r="AD156"/>
    </row>
    <row r="157" spans="1:30" x14ac:dyDescent="0.25">
      <c r="A157" s="298">
        <f>SUBTOTAL(3,B$3:B157)</f>
        <v>0</v>
      </c>
      <c r="B157" s="299">
        <f>SUBTOTAL(3,C$3:C157)</f>
        <v>155</v>
      </c>
      <c r="C157" s="83" t="s">
        <v>93</v>
      </c>
      <c r="D157" s="303" t="s">
        <v>27</v>
      </c>
      <c r="E157" s="49" t="s">
        <v>7</v>
      </c>
      <c r="F157" s="305" t="s">
        <v>548</v>
      </c>
      <c r="G157" s="307">
        <v>46142</v>
      </c>
      <c r="H157" s="34" t="s">
        <v>6</v>
      </c>
      <c r="I157" s="309">
        <v>506008.78</v>
      </c>
      <c r="J157" s="161" cm="1">
        <f t="array" ref="J157">_xlfn.IFS(D157="INDUSTOWER","40",D157="RELIANCEIN","44",D157="SIEMENSLTD","120",D157="CLEANMAX","40",D157="AVAADA","40",D157="ARCHTECH","40")+G157</f>
        <v>46182</v>
      </c>
      <c r="K157" s="268">
        <f t="shared" ca="1" si="48"/>
        <v>46148</v>
      </c>
      <c r="L157" s="310">
        <f t="shared" si="55"/>
        <v>46202</v>
      </c>
      <c r="M157" s="301" t="s">
        <v>568</v>
      </c>
      <c r="N157" s="312">
        <f t="shared" si="56"/>
        <v>46142</v>
      </c>
      <c r="O157" s="313"/>
      <c r="P157" s="314"/>
      <c r="Q157" s="270" t="s">
        <v>29</v>
      </c>
      <c r="R157" s="315">
        <f t="shared" si="57"/>
        <v>455407.90200000006</v>
      </c>
      <c r="S157" s="92">
        <v>7.6999999999999999E-2</v>
      </c>
      <c r="T157" s="316">
        <f t="shared" ca="1" si="58"/>
        <v>54</v>
      </c>
      <c r="U157" s="318">
        <f t="shared" ca="1" si="59"/>
        <v>5188</v>
      </c>
      <c r="V157" s="318">
        <f t="shared" ca="1" si="60"/>
        <v>450219.90200000006</v>
      </c>
      <c r="W157" s="319"/>
      <c r="X157" s="320"/>
      <c r="Y157" s="321"/>
      <c r="Z157" s="321"/>
      <c r="AA157" s="322"/>
      <c r="AB157" s="323"/>
      <c r="AC157" s="16" cm="1">
        <f t="array" ref="AC157">_xlfn.IFS(D157="INDUSTOWER","275000000",D157="RELIANCEIN","220000000",D157="SIEMENSLTD","83330000")-I157</f>
        <v>274493991.22000003</v>
      </c>
      <c r="AD157"/>
    </row>
    <row r="158" spans="1:30" x14ac:dyDescent="0.25">
      <c r="A158" s="298">
        <f>SUBTOTAL(3,B$3:B158)</f>
        <v>0</v>
      </c>
      <c r="B158" s="299">
        <f>SUBTOTAL(3,C$3:C158)</f>
        <v>156</v>
      </c>
      <c r="C158" s="83" t="s">
        <v>93</v>
      </c>
      <c r="D158" s="303" t="s">
        <v>27</v>
      </c>
      <c r="E158" s="49" t="s">
        <v>7</v>
      </c>
      <c r="F158" s="305" t="s">
        <v>549</v>
      </c>
      <c r="G158" s="307">
        <v>46142</v>
      </c>
      <c r="H158" s="34" t="s">
        <v>6</v>
      </c>
      <c r="I158" s="309">
        <v>94808.28</v>
      </c>
      <c r="J158" s="161" cm="1">
        <f t="array" ref="J158">_xlfn.IFS(D158="INDUSTOWER","40",D158="RELIANCEIN","44",D158="SIEMENSLTD","120",D158="CLEANMAX","40",D158="AVAADA","40",D158="ARCHTECH","40")+G158</f>
        <v>46182</v>
      </c>
      <c r="K158" s="268">
        <f t="shared" ca="1" si="48"/>
        <v>46148</v>
      </c>
      <c r="L158" s="310">
        <f t="shared" si="55"/>
        <v>46202</v>
      </c>
      <c r="M158" s="301" t="s">
        <v>569</v>
      </c>
      <c r="N158" s="312">
        <f t="shared" si="56"/>
        <v>46142</v>
      </c>
      <c r="O158" s="313"/>
      <c r="P158" s="314"/>
      <c r="Q158" s="270" t="s">
        <v>587</v>
      </c>
      <c r="R158" s="315">
        <f t="shared" si="57"/>
        <v>85327.452000000005</v>
      </c>
      <c r="S158" s="92">
        <v>7.6999999999999999E-2</v>
      </c>
      <c r="T158" s="316">
        <f t="shared" ca="1" si="58"/>
        <v>54</v>
      </c>
      <c r="U158" s="318">
        <f t="shared" ca="1" si="59"/>
        <v>972</v>
      </c>
      <c r="V158" s="318">
        <f t="shared" ca="1" si="60"/>
        <v>84355.452000000005</v>
      </c>
      <c r="W158" s="319"/>
      <c r="X158" s="320"/>
      <c r="Y158" s="321"/>
      <c r="Z158" s="321"/>
      <c r="AA158" s="322"/>
      <c r="AB158" s="323"/>
      <c r="AC158" s="16" cm="1">
        <f t="array" ref="AC158">_xlfn.IFS(D158="INDUSTOWER","275000000",D158="RELIANCEIN","220000000",D158="SIEMENSLTD","83330000")-I158</f>
        <v>274905191.72000003</v>
      </c>
      <c r="AD158"/>
    </row>
    <row r="159" spans="1:30" x14ac:dyDescent="0.25">
      <c r="A159" s="298">
        <f>SUBTOTAL(3,B$3:B159)</f>
        <v>0</v>
      </c>
      <c r="B159" s="299">
        <f>SUBTOTAL(3,C$3:C159)</f>
        <v>157</v>
      </c>
      <c r="C159" s="83" t="s">
        <v>93</v>
      </c>
      <c r="D159" s="303" t="s">
        <v>27</v>
      </c>
      <c r="E159" s="49" t="s">
        <v>7</v>
      </c>
      <c r="F159" s="305" t="s">
        <v>550</v>
      </c>
      <c r="G159" s="307">
        <v>46142</v>
      </c>
      <c r="H159" s="34" t="s">
        <v>6</v>
      </c>
      <c r="I159" s="309">
        <v>506008.78</v>
      </c>
      <c r="J159" s="161" cm="1">
        <f t="array" ref="J159">_xlfn.IFS(D159="INDUSTOWER","40",D159="RELIANCEIN","44",D159="SIEMENSLTD","120",D159="CLEANMAX","40",D159="AVAADA","40",D159="ARCHTECH","40")+G159</f>
        <v>46182</v>
      </c>
      <c r="K159" s="268">
        <f t="shared" ca="1" si="48"/>
        <v>46148</v>
      </c>
      <c r="L159" s="310">
        <f t="shared" si="55"/>
        <v>46202</v>
      </c>
      <c r="M159" s="301" t="s">
        <v>570</v>
      </c>
      <c r="N159" s="312">
        <f t="shared" si="56"/>
        <v>46142</v>
      </c>
      <c r="O159" s="313"/>
      <c r="P159" s="314"/>
      <c r="Q159" s="270" t="s">
        <v>29</v>
      </c>
      <c r="R159" s="315">
        <f t="shared" si="57"/>
        <v>455407.90200000006</v>
      </c>
      <c r="S159" s="92">
        <v>7.6999999999999999E-2</v>
      </c>
      <c r="T159" s="316">
        <f t="shared" ca="1" si="58"/>
        <v>54</v>
      </c>
      <c r="U159" s="318">
        <f t="shared" ca="1" si="59"/>
        <v>5188</v>
      </c>
      <c r="V159" s="318">
        <f t="shared" ca="1" si="60"/>
        <v>450219.90200000006</v>
      </c>
      <c r="W159" s="319"/>
      <c r="X159" s="320"/>
      <c r="Y159" s="321"/>
      <c r="Z159" s="321"/>
      <c r="AA159" s="322"/>
      <c r="AB159" s="323"/>
      <c r="AC159" s="16" cm="1">
        <f t="array" ref="AC159">_xlfn.IFS(D159="INDUSTOWER","275000000",D159="RELIANCEIN","220000000",D159="SIEMENSLTD","83330000")-I159</f>
        <v>274493991.22000003</v>
      </c>
      <c r="AD159"/>
    </row>
    <row r="160" spans="1:30" x14ac:dyDescent="0.25">
      <c r="A160" s="298">
        <f>SUBTOTAL(3,B$3:B160)</f>
        <v>0</v>
      </c>
      <c r="B160" s="299">
        <f>SUBTOTAL(3,C$3:C160)</f>
        <v>158</v>
      </c>
      <c r="C160" s="83" t="s">
        <v>93</v>
      </c>
      <c r="D160" s="303" t="s">
        <v>27</v>
      </c>
      <c r="E160" s="49" t="s">
        <v>7</v>
      </c>
      <c r="F160" s="305" t="s">
        <v>551</v>
      </c>
      <c r="G160" s="307">
        <v>46142</v>
      </c>
      <c r="H160" s="34" t="s">
        <v>6</v>
      </c>
      <c r="I160" s="309">
        <v>94808.28</v>
      </c>
      <c r="J160" s="161" cm="1">
        <f t="array" ref="J160">_xlfn.IFS(D160="INDUSTOWER","40",D160="RELIANCEIN","44",D160="SIEMENSLTD","120",D160="CLEANMAX","40",D160="AVAADA","40",D160="ARCHTECH","40")+G160</f>
        <v>46182</v>
      </c>
      <c r="K160" s="268">
        <f t="shared" ca="1" si="48"/>
        <v>46148</v>
      </c>
      <c r="L160" s="310">
        <f t="shared" si="55"/>
        <v>46202</v>
      </c>
      <c r="M160" s="301" t="s">
        <v>571</v>
      </c>
      <c r="N160" s="312">
        <f t="shared" si="56"/>
        <v>46142</v>
      </c>
      <c r="O160" s="313"/>
      <c r="P160" s="314"/>
      <c r="Q160" s="270" t="s">
        <v>587</v>
      </c>
      <c r="R160" s="315">
        <f t="shared" si="57"/>
        <v>85327.452000000005</v>
      </c>
      <c r="S160" s="92">
        <v>7.6999999999999999E-2</v>
      </c>
      <c r="T160" s="316">
        <f t="shared" ca="1" si="58"/>
        <v>54</v>
      </c>
      <c r="U160" s="318">
        <f t="shared" ca="1" si="59"/>
        <v>972</v>
      </c>
      <c r="V160" s="318">
        <f t="shared" ca="1" si="60"/>
        <v>84355.452000000005</v>
      </c>
      <c r="W160" s="319"/>
      <c r="X160" s="320"/>
      <c r="Y160" s="321"/>
      <c r="Z160" s="321"/>
      <c r="AA160" s="322"/>
      <c r="AB160" s="323"/>
      <c r="AC160" s="16" cm="1">
        <f t="array" ref="AC160">_xlfn.IFS(D160="INDUSTOWER","275000000",D160="RELIANCEIN","220000000",D160="SIEMENSLTD","83330000")-I160</f>
        <v>274905191.72000003</v>
      </c>
      <c r="AD160"/>
    </row>
    <row r="161" spans="1:30" x14ac:dyDescent="0.25">
      <c r="A161" s="298">
        <f>SUBTOTAL(3,B$3:B161)</f>
        <v>0</v>
      </c>
      <c r="B161" s="299">
        <f>SUBTOTAL(3,C$3:C161)</f>
        <v>159</v>
      </c>
      <c r="C161" s="83" t="s">
        <v>93</v>
      </c>
      <c r="D161" s="303" t="s">
        <v>27</v>
      </c>
      <c r="E161" s="49" t="s">
        <v>7</v>
      </c>
      <c r="F161" s="305" t="s">
        <v>552</v>
      </c>
      <c r="G161" s="307">
        <v>46142</v>
      </c>
      <c r="H161" s="34" t="s">
        <v>6</v>
      </c>
      <c r="I161" s="309">
        <v>506008.78</v>
      </c>
      <c r="J161" s="161" cm="1">
        <f t="array" ref="J161">_xlfn.IFS(D161="INDUSTOWER","40",D161="RELIANCEIN","44",D161="SIEMENSLTD","120",D161="CLEANMAX","40",D161="AVAADA","40",D161="ARCHTECH","40")+G161</f>
        <v>46182</v>
      </c>
      <c r="K161" s="268">
        <f t="shared" ca="1" si="48"/>
        <v>46148</v>
      </c>
      <c r="L161" s="310">
        <f t="shared" si="55"/>
        <v>46202</v>
      </c>
      <c r="M161" s="301" t="s">
        <v>572</v>
      </c>
      <c r="N161" s="312">
        <f t="shared" si="56"/>
        <v>46142</v>
      </c>
      <c r="O161" s="313"/>
      <c r="P161" s="314"/>
      <c r="Q161" s="270" t="s">
        <v>29</v>
      </c>
      <c r="R161" s="315">
        <f t="shared" si="57"/>
        <v>455407.90200000006</v>
      </c>
      <c r="S161" s="92">
        <v>7.6999999999999999E-2</v>
      </c>
      <c r="T161" s="316">
        <f t="shared" ca="1" si="58"/>
        <v>54</v>
      </c>
      <c r="U161" s="318">
        <f t="shared" ca="1" si="59"/>
        <v>5188</v>
      </c>
      <c r="V161" s="318">
        <f t="shared" ca="1" si="60"/>
        <v>450219.90200000006</v>
      </c>
      <c r="W161" s="319"/>
      <c r="X161" s="320"/>
      <c r="Y161" s="321"/>
      <c r="Z161" s="321"/>
      <c r="AA161" s="322"/>
      <c r="AB161" s="323"/>
      <c r="AC161" s="16" cm="1">
        <f t="array" ref="AC161">_xlfn.IFS(D161="INDUSTOWER","275000000",D161="RELIANCEIN","220000000",D161="SIEMENSLTD","83330000")-I161</f>
        <v>274493991.22000003</v>
      </c>
      <c r="AD161"/>
    </row>
    <row r="162" spans="1:30" x14ac:dyDescent="0.25">
      <c r="A162" s="298">
        <f>SUBTOTAL(3,B$3:B162)</f>
        <v>0</v>
      </c>
      <c r="B162" s="299">
        <f>SUBTOTAL(3,C$3:C162)</f>
        <v>160</v>
      </c>
      <c r="C162" s="83" t="s">
        <v>93</v>
      </c>
      <c r="D162" s="303" t="s">
        <v>27</v>
      </c>
      <c r="E162" s="49" t="s">
        <v>7</v>
      </c>
      <c r="F162" s="305" t="s">
        <v>553</v>
      </c>
      <c r="G162" s="307">
        <v>46142</v>
      </c>
      <c r="H162" s="34" t="s">
        <v>6</v>
      </c>
      <c r="I162" s="309">
        <v>94808.28</v>
      </c>
      <c r="J162" s="161" cm="1">
        <f t="array" ref="J162">_xlfn.IFS(D162="INDUSTOWER","40",D162="RELIANCEIN","44",D162="SIEMENSLTD","120",D162="CLEANMAX","40",D162="AVAADA","40",D162="ARCHTECH","40")+G162</f>
        <v>46182</v>
      </c>
      <c r="K162" s="268">
        <f t="shared" ca="1" si="48"/>
        <v>46148</v>
      </c>
      <c r="L162" s="310">
        <f t="shared" si="55"/>
        <v>46202</v>
      </c>
      <c r="M162" s="301" t="s">
        <v>573</v>
      </c>
      <c r="N162" s="312">
        <f t="shared" si="56"/>
        <v>46142</v>
      </c>
      <c r="O162" s="313"/>
      <c r="P162" s="314"/>
      <c r="Q162" s="270" t="s">
        <v>587</v>
      </c>
      <c r="R162" s="315">
        <f t="shared" si="57"/>
        <v>85327.452000000005</v>
      </c>
      <c r="S162" s="92">
        <v>7.6999999999999999E-2</v>
      </c>
      <c r="T162" s="316">
        <f t="shared" ca="1" si="58"/>
        <v>54</v>
      </c>
      <c r="U162" s="318">
        <f t="shared" ca="1" si="59"/>
        <v>972</v>
      </c>
      <c r="V162" s="318">
        <f t="shared" ca="1" si="60"/>
        <v>84355.452000000005</v>
      </c>
      <c r="W162" s="319"/>
      <c r="X162" s="320"/>
      <c r="Y162" s="321"/>
      <c r="Z162" s="321"/>
      <c r="AA162" s="322"/>
      <c r="AB162" s="323"/>
      <c r="AC162" s="16" cm="1">
        <f t="array" ref="AC162">_xlfn.IFS(D162="INDUSTOWER","275000000",D162="RELIANCEIN","220000000",D162="SIEMENSLTD","83330000")-I162</f>
        <v>274905191.72000003</v>
      </c>
      <c r="AD162"/>
    </row>
    <row r="163" spans="1:30" x14ac:dyDescent="0.25">
      <c r="A163" s="298">
        <f>SUBTOTAL(3,B$3:B163)</f>
        <v>0</v>
      </c>
      <c r="B163" s="299">
        <f>SUBTOTAL(3,C$3:C163)</f>
        <v>161</v>
      </c>
      <c r="C163" s="83" t="s">
        <v>93</v>
      </c>
      <c r="D163" s="303" t="s">
        <v>27</v>
      </c>
      <c r="E163" s="49" t="s">
        <v>7</v>
      </c>
      <c r="F163" s="305" t="s">
        <v>554</v>
      </c>
      <c r="G163" s="307">
        <v>46142</v>
      </c>
      <c r="H163" s="34" t="s">
        <v>6</v>
      </c>
      <c r="I163" s="309">
        <v>506008.78</v>
      </c>
      <c r="J163" s="161" cm="1">
        <f t="array" ref="J163">_xlfn.IFS(D163="INDUSTOWER","40",D163="RELIANCEIN","44",D163="SIEMENSLTD","120",D163="CLEANMAX","40",D163="AVAADA","40",D163="ARCHTECH","40")+G163</f>
        <v>46182</v>
      </c>
      <c r="K163" s="268">
        <f t="shared" ca="1" si="48"/>
        <v>46148</v>
      </c>
      <c r="L163" s="310">
        <f t="shared" si="55"/>
        <v>46202</v>
      </c>
      <c r="M163" s="301" t="s">
        <v>574</v>
      </c>
      <c r="N163" s="312">
        <f t="shared" si="56"/>
        <v>46142</v>
      </c>
      <c r="O163" s="313"/>
      <c r="P163" s="314"/>
      <c r="Q163" s="270" t="s">
        <v>29</v>
      </c>
      <c r="R163" s="315">
        <f t="shared" si="57"/>
        <v>455407.90200000006</v>
      </c>
      <c r="S163" s="92">
        <v>7.6999999999999999E-2</v>
      </c>
      <c r="T163" s="316">
        <f t="shared" ca="1" si="58"/>
        <v>54</v>
      </c>
      <c r="U163" s="318">
        <f t="shared" ca="1" si="59"/>
        <v>5188</v>
      </c>
      <c r="V163" s="318">
        <f t="shared" ca="1" si="60"/>
        <v>450219.90200000006</v>
      </c>
      <c r="W163" s="319"/>
      <c r="X163" s="320"/>
      <c r="Y163" s="321"/>
      <c r="Z163" s="321"/>
      <c r="AA163" s="322"/>
      <c r="AB163" s="323"/>
      <c r="AC163" s="16" cm="1">
        <f t="array" ref="AC163">_xlfn.IFS(D163="INDUSTOWER","275000000",D163="RELIANCEIN","220000000",D163="SIEMENSLTD","83330000")-I163</f>
        <v>274493991.22000003</v>
      </c>
      <c r="AD163"/>
    </row>
    <row r="164" spans="1:30" x14ac:dyDescent="0.25">
      <c r="A164" s="298">
        <f>SUBTOTAL(3,B$3:B164)</f>
        <v>0</v>
      </c>
      <c r="B164" s="299">
        <f>SUBTOTAL(3,C$3:C164)</f>
        <v>162</v>
      </c>
      <c r="C164" s="83" t="s">
        <v>93</v>
      </c>
      <c r="D164" s="303" t="s">
        <v>27</v>
      </c>
      <c r="E164" s="49" t="s">
        <v>7</v>
      </c>
      <c r="F164" s="305" t="s">
        <v>555</v>
      </c>
      <c r="G164" s="307">
        <v>46142</v>
      </c>
      <c r="H164" s="34" t="s">
        <v>6</v>
      </c>
      <c r="I164" s="309">
        <v>94808.28</v>
      </c>
      <c r="J164" s="161" cm="1">
        <f t="array" ref="J164">_xlfn.IFS(D164="INDUSTOWER","40",D164="RELIANCEIN","44",D164="SIEMENSLTD","120",D164="CLEANMAX","40",D164="AVAADA","40",D164="ARCHTECH","40")+G164</f>
        <v>46182</v>
      </c>
      <c r="K164" s="268">
        <f t="shared" ca="1" si="48"/>
        <v>46148</v>
      </c>
      <c r="L164" s="310">
        <f t="shared" si="55"/>
        <v>46202</v>
      </c>
      <c r="M164" s="301" t="s">
        <v>575</v>
      </c>
      <c r="N164" s="312">
        <f t="shared" si="56"/>
        <v>46142</v>
      </c>
      <c r="O164" s="313"/>
      <c r="P164" s="314"/>
      <c r="Q164" s="270" t="s">
        <v>587</v>
      </c>
      <c r="R164" s="315">
        <f t="shared" si="57"/>
        <v>85327.452000000005</v>
      </c>
      <c r="S164" s="92">
        <v>7.6999999999999999E-2</v>
      </c>
      <c r="T164" s="316">
        <f t="shared" ca="1" si="58"/>
        <v>54</v>
      </c>
      <c r="U164" s="318">
        <f t="shared" ca="1" si="59"/>
        <v>972</v>
      </c>
      <c r="V164" s="318">
        <f t="shared" ca="1" si="60"/>
        <v>84355.452000000005</v>
      </c>
      <c r="W164" s="319"/>
      <c r="X164" s="320"/>
      <c r="Y164" s="321"/>
      <c r="Z164" s="321"/>
      <c r="AA164" s="322"/>
      <c r="AB164" s="323"/>
      <c r="AC164" s="16" cm="1">
        <f t="array" ref="AC164">_xlfn.IFS(D164="INDUSTOWER","275000000",D164="RELIANCEIN","220000000",D164="SIEMENSLTD","83330000")-I164</f>
        <v>274905191.72000003</v>
      </c>
      <c r="AD164"/>
    </row>
    <row r="165" spans="1:30" x14ac:dyDescent="0.25">
      <c r="A165" s="298">
        <f>SUBTOTAL(3,B$3:B165)</f>
        <v>0</v>
      </c>
      <c r="B165" s="299">
        <f>SUBTOTAL(3,C$3:C165)</f>
        <v>163</v>
      </c>
      <c r="C165" s="83" t="s">
        <v>93</v>
      </c>
      <c r="D165" s="303" t="s">
        <v>27</v>
      </c>
      <c r="E165" s="49" t="s">
        <v>7</v>
      </c>
      <c r="F165" s="305" t="s">
        <v>556</v>
      </c>
      <c r="G165" s="307">
        <v>46142</v>
      </c>
      <c r="H165" s="34" t="s">
        <v>6</v>
      </c>
      <c r="I165" s="309">
        <v>94808.28</v>
      </c>
      <c r="J165" s="161" cm="1">
        <f t="array" ref="J165">_xlfn.IFS(D165="INDUSTOWER","40",D165="RELIANCEIN","44",D165="SIEMENSLTD","120",D165="CLEANMAX","40",D165="AVAADA","40",D165="ARCHTECH","40")+G165</f>
        <v>46182</v>
      </c>
      <c r="K165" s="268">
        <f t="shared" ca="1" si="48"/>
        <v>46148</v>
      </c>
      <c r="L165" s="310">
        <f t="shared" si="55"/>
        <v>46202</v>
      </c>
      <c r="M165" s="301" t="s">
        <v>576</v>
      </c>
      <c r="N165" s="312">
        <f t="shared" si="56"/>
        <v>46142</v>
      </c>
      <c r="O165" s="313"/>
      <c r="P165" s="314"/>
      <c r="Q165" s="270" t="s">
        <v>587</v>
      </c>
      <c r="R165" s="315">
        <f t="shared" si="57"/>
        <v>85327.452000000005</v>
      </c>
      <c r="S165" s="92">
        <v>7.6999999999999999E-2</v>
      </c>
      <c r="T165" s="316">
        <f t="shared" ca="1" si="58"/>
        <v>54</v>
      </c>
      <c r="U165" s="318">
        <f t="shared" ca="1" si="59"/>
        <v>972</v>
      </c>
      <c r="V165" s="318">
        <f t="shared" ca="1" si="60"/>
        <v>84355.452000000005</v>
      </c>
      <c r="W165" s="319"/>
      <c r="X165" s="320"/>
      <c r="Y165" s="321"/>
      <c r="Z165" s="321"/>
      <c r="AA165" s="322"/>
      <c r="AB165" s="323"/>
      <c r="AC165" s="16" cm="1">
        <f t="array" ref="AC165">_xlfn.IFS(D165="INDUSTOWER","275000000",D165="RELIANCEIN","220000000",D165="SIEMENSLTD","83330000")-I165</f>
        <v>274905191.72000003</v>
      </c>
      <c r="AD165"/>
    </row>
    <row r="166" spans="1:30" x14ac:dyDescent="0.25">
      <c r="A166" s="298">
        <f>SUBTOTAL(3,B$3:B166)</f>
        <v>0</v>
      </c>
      <c r="B166" s="299">
        <f>SUBTOTAL(3,C$3:C166)</f>
        <v>164</v>
      </c>
      <c r="C166" s="83" t="s">
        <v>93</v>
      </c>
      <c r="D166" s="303" t="s">
        <v>27</v>
      </c>
      <c r="E166" s="49" t="s">
        <v>7</v>
      </c>
      <c r="F166" s="305" t="s">
        <v>557</v>
      </c>
      <c r="G166" s="307">
        <v>46142</v>
      </c>
      <c r="H166" s="34" t="s">
        <v>6</v>
      </c>
      <c r="I166" s="309">
        <v>506008.78</v>
      </c>
      <c r="J166" s="161" cm="1">
        <f t="array" ref="J166">_xlfn.IFS(D166="INDUSTOWER","40",D166="RELIANCEIN","44",D166="SIEMENSLTD","120",D166="CLEANMAX","40",D166="AVAADA","40",D166="ARCHTECH","40")+G166</f>
        <v>46182</v>
      </c>
      <c r="K166" s="268">
        <f t="shared" ca="1" si="48"/>
        <v>46148</v>
      </c>
      <c r="L166" s="310">
        <f t="shared" si="55"/>
        <v>46202</v>
      </c>
      <c r="M166" s="301" t="s">
        <v>577</v>
      </c>
      <c r="N166" s="312">
        <f t="shared" si="56"/>
        <v>46142</v>
      </c>
      <c r="O166" s="313"/>
      <c r="P166" s="314"/>
      <c r="Q166" s="270" t="s">
        <v>29</v>
      </c>
      <c r="R166" s="315">
        <f t="shared" si="57"/>
        <v>455407.90200000006</v>
      </c>
      <c r="S166" s="92">
        <v>7.6999999999999999E-2</v>
      </c>
      <c r="T166" s="316">
        <f t="shared" ca="1" si="58"/>
        <v>54</v>
      </c>
      <c r="U166" s="318">
        <f t="shared" ca="1" si="59"/>
        <v>5188</v>
      </c>
      <c r="V166" s="318">
        <f t="shared" ca="1" si="60"/>
        <v>450219.90200000006</v>
      </c>
      <c r="W166" s="319"/>
      <c r="X166" s="320"/>
      <c r="Y166" s="321"/>
      <c r="Z166" s="321"/>
      <c r="AA166" s="322"/>
      <c r="AB166" s="323"/>
      <c r="AC166" s="16" cm="1">
        <f t="array" ref="AC166">_xlfn.IFS(D166="INDUSTOWER","275000000",D166="RELIANCEIN","220000000",D166="SIEMENSLTD","83330000")-I166</f>
        <v>274493991.22000003</v>
      </c>
      <c r="AD166"/>
    </row>
    <row r="167" spans="1:30" x14ac:dyDescent="0.25">
      <c r="A167" s="298">
        <f>SUBTOTAL(3,B$3:B167)</f>
        <v>0</v>
      </c>
      <c r="B167" s="299">
        <f>SUBTOTAL(3,C$3:C167)</f>
        <v>165</v>
      </c>
      <c r="C167" s="83" t="s">
        <v>93</v>
      </c>
      <c r="D167" s="303" t="s">
        <v>24</v>
      </c>
      <c r="E167" s="49" t="s">
        <v>7</v>
      </c>
      <c r="F167" s="305" t="s">
        <v>558</v>
      </c>
      <c r="G167" s="307">
        <v>46142</v>
      </c>
      <c r="H167" s="34" t="s">
        <v>6</v>
      </c>
      <c r="I167" s="309">
        <v>1151810.98</v>
      </c>
      <c r="J167" s="161" cm="1">
        <f t="array" ref="J167">_xlfn.IFS(D167="INDUSTOWER","40",D167="RELIANCEIN","44",D167="SIEMENSLTD","120",D167="CLEANMAX","40",D167="AVAADA","40",D167="ARCHTECH","40")+G167</f>
        <v>46186</v>
      </c>
      <c r="K167" s="268">
        <f t="shared" ca="1" si="48"/>
        <v>46148</v>
      </c>
      <c r="L167" s="310">
        <f t="shared" si="55"/>
        <v>46206</v>
      </c>
      <c r="M167" s="301" t="s">
        <v>578</v>
      </c>
      <c r="N167" s="312">
        <f t="shared" si="56"/>
        <v>46142</v>
      </c>
      <c r="O167" s="313"/>
      <c r="P167" s="314"/>
      <c r="Q167" s="270" t="s">
        <v>26</v>
      </c>
      <c r="R167" s="315">
        <f t="shared" si="57"/>
        <v>1036629.882</v>
      </c>
      <c r="S167" s="92">
        <v>7.6999999999999999E-2</v>
      </c>
      <c r="T167" s="316">
        <f t="shared" ca="1" si="58"/>
        <v>58</v>
      </c>
      <c r="U167" s="318">
        <f t="shared" ca="1" si="59"/>
        <v>12684</v>
      </c>
      <c r="V167" s="318">
        <f t="shared" ca="1" si="60"/>
        <v>1023945.882</v>
      </c>
      <c r="W167" s="319"/>
      <c r="X167" s="320"/>
      <c r="Y167" s="321"/>
      <c r="Z167" s="321"/>
      <c r="AA167" s="322"/>
      <c r="AB167" s="323"/>
      <c r="AC167" s="16" cm="1">
        <f t="array" ref="AC167">_xlfn.IFS(D167="INDUSTOWER","275000000",D167="RELIANCEIN","220000000",D167="SIEMENSLTD","83330000")-I167</f>
        <v>218848189.02000001</v>
      </c>
      <c r="AD167"/>
    </row>
    <row r="168" spans="1:30" x14ac:dyDescent="0.25">
      <c r="A168" s="298">
        <f>SUBTOTAL(3,B$3:B168)</f>
        <v>0</v>
      </c>
      <c r="B168" s="299">
        <f>SUBTOTAL(3,C$3:C168)</f>
        <v>166</v>
      </c>
      <c r="C168" s="83" t="s">
        <v>93</v>
      </c>
      <c r="D168" s="303" t="s">
        <v>27</v>
      </c>
      <c r="E168" s="49" t="s">
        <v>7</v>
      </c>
      <c r="F168" s="305" t="s">
        <v>559</v>
      </c>
      <c r="G168" s="307">
        <v>46142</v>
      </c>
      <c r="H168" s="34" t="s">
        <v>6</v>
      </c>
      <c r="I168" s="309">
        <v>455946.1</v>
      </c>
      <c r="J168" s="161" cm="1">
        <f t="array" ref="J168">_xlfn.IFS(D168="INDUSTOWER","40",D168="RELIANCEIN","44",D168="SIEMENSLTD","120",D168="CLEANMAX","40",D168="AVAADA","40",D168="ARCHTECH","40")+G168</f>
        <v>46182</v>
      </c>
      <c r="K168" s="268">
        <f t="shared" ca="1" si="48"/>
        <v>46148</v>
      </c>
      <c r="L168" s="310">
        <f t="shared" si="55"/>
        <v>46202</v>
      </c>
      <c r="M168" s="301" t="s">
        <v>579</v>
      </c>
      <c r="N168" s="312">
        <f t="shared" si="56"/>
        <v>46142</v>
      </c>
      <c r="O168" s="313"/>
      <c r="P168" s="314"/>
      <c r="Q168" s="270" t="s">
        <v>28</v>
      </c>
      <c r="R168" s="315">
        <f t="shared" si="57"/>
        <v>410351.49</v>
      </c>
      <c r="S168" s="92">
        <v>7.6999999999999999E-2</v>
      </c>
      <c r="T168" s="316">
        <f t="shared" ca="1" si="58"/>
        <v>54</v>
      </c>
      <c r="U168" s="318">
        <f t="shared" ca="1" si="59"/>
        <v>4675</v>
      </c>
      <c r="V168" s="318">
        <f t="shared" ca="1" si="60"/>
        <v>405676.49</v>
      </c>
      <c r="W168" s="319"/>
      <c r="X168" s="320"/>
      <c r="Y168" s="321"/>
      <c r="Z168" s="321"/>
      <c r="AA168" s="322"/>
      <c r="AB168" s="323"/>
      <c r="AC168" s="16" cm="1">
        <f t="array" ref="AC168">_xlfn.IFS(D168="INDUSTOWER","275000000",D168="RELIANCEIN","220000000",D168="SIEMENSLTD","83330000")-I168</f>
        <v>274544053.89999998</v>
      </c>
      <c r="AD168"/>
    </row>
    <row r="169" spans="1:30" x14ac:dyDescent="0.25">
      <c r="A169" s="298">
        <f>SUBTOTAL(3,B$3:B169)</f>
        <v>0</v>
      </c>
      <c r="B169" s="299">
        <f>SUBTOTAL(3,C$3:C169)</f>
        <v>167</v>
      </c>
      <c r="C169" s="83" t="s">
        <v>93</v>
      </c>
      <c r="D169" s="303" t="s">
        <v>27</v>
      </c>
      <c r="E169" s="49" t="s">
        <v>7</v>
      </c>
      <c r="F169" s="305" t="s">
        <v>560</v>
      </c>
      <c r="G169" s="307">
        <v>46142</v>
      </c>
      <c r="H169" s="34" t="s">
        <v>6</v>
      </c>
      <c r="I169" s="309">
        <v>455946.1</v>
      </c>
      <c r="J169" s="161" cm="1">
        <f t="array" ref="J169">_xlfn.IFS(D169="INDUSTOWER","40",D169="RELIANCEIN","44",D169="SIEMENSLTD","120",D169="CLEANMAX","40",D169="AVAADA","40",D169="ARCHTECH","40")+G169</f>
        <v>46182</v>
      </c>
      <c r="K169" s="268">
        <f t="shared" ca="1" si="48"/>
        <v>46148</v>
      </c>
      <c r="L169" s="310">
        <f t="shared" si="55"/>
        <v>46202</v>
      </c>
      <c r="M169" s="301" t="s">
        <v>580</v>
      </c>
      <c r="N169" s="312">
        <f t="shared" si="56"/>
        <v>46142</v>
      </c>
      <c r="O169" s="313"/>
      <c r="P169" s="314"/>
      <c r="Q169" s="270" t="s">
        <v>28</v>
      </c>
      <c r="R169" s="315">
        <f t="shared" si="57"/>
        <v>410351.49</v>
      </c>
      <c r="S169" s="92">
        <v>7.6999999999999999E-2</v>
      </c>
      <c r="T169" s="316">
        <f t="shared" ca="1" si="58"/>
        <v>54</v>
      </c>
      <c r="U169" s="318">
        <f t="shared" ca="1" si="59"/>
        <v>4675</v>
      </c>
      <c r="V169" s="318">
        <f t="shared" ca="1" si="60"/>
        <v>405676.49</v>
      </c>
      <c r="W169" s="319"/>
      <c r="X169" s="320"/>
      <c r="Y169" s="321"/>
      <c r="Z169" s="321"/>
      <c r="AA169" s="322"/>
      <c r="AB169" s="323"/>
      <c r="AC169" s="16" cm="1">
        <f t="array" ref="AC169">_xlfn.IFS(D169="INDUSTOWER","275000000",D169="RELIANCEIN","220000000",D169="SIEMENSLTD","83330000")-I169</f>
        <v>274544053.89999998</v>
      </c>
      <c r="AD169"/>
    </row>
    <row r="170" spans="1:30" x14ac:dyDescent="0.25">
      <c r="A170" s="298">
        <f>SUBTOTAL(3,B$3:B170)</f>
        <v>0</v>
      </c>
      <c r="B170" s="299">
        <f>SUBTOTAL(3,C$3:C170)</f>
        <v>168</v>
      </c>
      <c r="C170" s="83" t="s">
        <v>93</v>
      </c>
      <c r="D170" s="303" t="s">
        <v>24</v>
      </c>
      <c r="E170" s="49" t="s">
        <v>7</v>
      </c>
      <c r="F170" s="305" t="s">
        <v>561</v>
      </c>
      <c r="G170" s="307">
        <v>46142</v>
      </c>
      <c r="H170" s="34" t="s">
        <v>6</v>
      </c>
      <c r="I170" s="309">
        <v>822460</v>
      </c>
      <c r="J170" s="161" cm="1">
        <f t="array" ref="J170">_xlfn.IFS(D170="INDUSTOWER","40",D170="RELIANCEIN","44",D170="SIEMENSLTD","120",D170="CLEANMAX","40",D170="AVAADA","40",D170="ARCHTECH","40")+G170</f>
        <v>46186</v>
      </c>
      <c r="K170" s="268">
        <f t="shared" ca="1" si="48"/>
        <v>46148</v>
      </c>
      <c r="L170" s="310">
        <f t="shared" si="55"/>
        <v>46206</v>
      </c>
      <c r="M170" s="301" t="s">
        <v>581</v>
      </c>
      <c r="N170" s="312">
        <f t="shared" si="56"/>
        <v>46142</v>
      </c>
      <c r="O170" s="313"/>
      <c r="P170" s="314"/>
      <c r="Q170" s="270" t="s">
        <v>196</v>
      </c>
      <c r="R170" s="315">
        <f t="shared" si="57"/>
        <v>740214</v>
      </c>
      <c r="S170" s="92">
        <v>7.6999999999999999E-2</v>
      </c>
      <c r="T170" s="316">
        <f t="shared" ca="1" si="58"/>
        <v>58</v>
      </c>
      <c r="U170" s="318">
        <f t="shared" ca="1" si="59"/>
        <v>9057</v>
      </c>
      <c r="V170" s="318">
        <f t="shared" ca="1" si="60"/>
        <v>731157</v>
      </c>
      <c r="W170" s="319"/>
      <c r="X170" s="320"/>
      <c r="Y170" s="321"/>
      <c r="Z170" s="321"/>
      <c r="AA170" s="322"/>
      <c r="AB170" s="323"/>
      <c r="AC170" s="16" cm="1">
        <f t="array" ref="AC170">_xlfn.IFS(D170="INDUSTOWER","275000000",D170="RELIANCEIN","220000000",D170="SIEMENSLTD","83330000")-I170</f>
        <v>219177540</v>
      </c>
      <c r="AD170"/>
    </row>
    <row r="171" spans="1:30" x14ac:dyDescent="0.25">
      <c r="A171" s="298">
        <f>SUBTOTAL(3,B$3:B171)</f>
        <v>0</v>
      </c>
      <c r="B171" s="299">
        <f>SUBTOTAL(3,C$3:C171)</f>
        <v>169</v>
      </c>
      <c r="C171" s="83" t="s">
        <v>93</v>
      </c>
      <c r="D171" s="303" t="s">
        <v>27</v>
      </c>
      <c r="E171" s="49" t="s">
        <v>7</v>
      </c>
      <c r="F171" s="305" t="s">
        <v>562</v>
      </c>
      <c r="G171" s="307">
        <v>46142</v>
      </c>
      <c r="H171" s="34" t="s">
        <v>6</v>
      </c>
      <c r="I171" s="309">
        <v>455946.1</v>
      </c>
      <c r="J171" s="161" cm="1">
        <f t="array" ref="J171">_xlfn.IFS(D171="INDUSTOWER","40",D171="RELIANCEIN","44",D171="SIEMENSLTD","120",D171="CLEANMAX","40",D171="AVAADA","40",D171="ARCHTECH","40")+G171</f>
        <v>46182</v>
      </c>
      <c r="K171" s="268">
        <f t="shared" ca="1" si="48"/>
        <v>46148</v>
      </c>
      <c r="L171" s="310">
        <f t="shared" si="55"/>
        <v>46202</v>
      </c>
      <c r="M171" s="301" t="s">
        <v>582</v>
      </c>
      <c r="N171" s="312">
        <f t="shared" si="56"/>
        <v>46142</v>
      </c>
      <c r="O171" s="313"/>
      <c r="P171" s="314"/>
      <c r="Q171" s="270" t="s">
        <v>28</v>
      </c>
      <c r="R171" s="315">
        <f t="shared" si="57"/>
        <v>410351.49</v>
      </c>
      <c r="S171" s="92">
        <v>7.6999999999999999E-2</v>
      </c>
      <c r="T171" s="316">
        <f t="shared" ca="1" si="58"/>
        <v>54</v>
      </c>
      <c r="U171" s="318">
        <f t="shared" ca="1" si="59"/>
        <v>4675</v>
      </c>
      <c r="V171" s="318">
        <f t="shared" ca="1" si="60"/>
        <v>405676.49</v>
      </c>
      <c r="W171" s="319"/>
      <c r="X171" s="320"/>
      <c r="Y171" s="321"/>
      <c r="Z171" s="321"/>
      <c r="AA171" s="322"/>
      <c r="AB171" s="323"/>
      <c r="AC171" s="16" cm="1">
        <f t="array" ref="AC171">_xlfn.IFS(D171="INDUSTOWER","275000000",D171="RELIANCEIN","220000000",D171="SIEMENSLTD","83330000")-I171</f>
        <v>274544053.89999998</v>
      </c>
      <c r="AD171"/>
    </row>
    <row r="172" spans="1:30" x14ac:dyDescent="0.25">
      <c r="A172" s="298">
        <f>SUBTOTAL(3,B$3:B172)</f>
        <v>0</v>
      </c>
      <c r="B172" s="299">
        <f>SUBTOTAL(3,C$3:C172)</f>
        <v>170</v>
      </c>
      <c r="C172" s="83" t="s">
        <v>93</v>
      </c>
      <c r="D172" s="303" t="s">
        <v>27</v>
      </c>
      <c r="E172" s="49" t="s">
        <v>7</v>
      </c>
      <c r="F172" s="305" t="s">
        <v>563</v>
      </c>
      <c r="G172" s="307">
        <v>46142</v>
      </c>
      <c r="H172" s="34" t="s">
        <v>6</v>
      </c>
      <c r="I172" s="309">
        <v>661895.04</v>
      </c>
      <c r="J172" s="161" cm="1">
        <f t="array" ref="J172">_xlfn.IFS(D172="INDUSTOWER","40",D172="RELIANCEIN","44",D172="SIEMENSLTD","120",D172="CLEANMAX","40",D172="AVAADA","40",D172="ARCHTECH","40")+G172</f>
        <v>46182</v>
      </c>
      <c r="K172" s="268">
        <f t="shared" ca="1" si="48"/>
        <v>46148</v>
      </c>
      <c r="L172" s="310">
        <f t="shared" si="55"/>
        <v>46202</v>
      </c>
      <c r="M172" s="301" t="s">
        <v>583</v>
      </c>
      <c r="N172" s="312">
        <f t="shared" si="56"/>
        <v>46142</v>
      </c>
      <c r="O172" s="313"/>
      <c r="P172" s="314"/>
      <c r="Q172" s="270" t="s">
        <v>70</v>
      </c>
      <c r="R172" s="315">
        <f t="shared" si="57"/>
        <v>595705.53600000008</v>
      </c>
      <c r="S172" s="92">
        <v>7.6999999999999999E-2</v>
      </c>
      <c r="T172" s="316">
        <f t="shared" ca="1" si="58"/>
        <v>54</v>
      </c>
      <c r="U172" s="318">
        <f t="shared" ca="1" si="59"/>
        <v>6786</v>
      </c>
      <c r="V172" s="318">
        <f t="shared" ca="1" si="60"/>
        <v>588919.53600000008</v>
      </c>
      <c r="W172" s="319"/>
      <c r="X172" s="320"/>
      <c r="Y172" s="321"/>
      <c r="Z172" s="321"/>
      <c r="AA172" s="322"/>
      <c r="AB172" s="323"/>
      <c r="AC172" s="16" cm="1">
        <f t="array" ref="AC172">_xlfn.IFS(D172="INDUSTOWER","275000000",D172="RELIANCEIN","220000000",D172="SIEMENSLTD","83330000")-I172</f>
        <v>274338104.95999998</v>
      </c>
      <c r="AD172"/>
    </row>
    <row r="173" spans="1:30" x14ac:dyDescent="0.25">
      <c r="A173" s="298">
        <f>SUBTOTAL(3,B$3:B173)</f>
        <v>0</v>
      </c>
      <c r="B173" s="299">
        <f>SUBTOTAL(3,C$3:C173)</f>
        <v>171</v>
      </c>
      <c r="C173" s="83" t="s">
        <v>93</v>
      </c>
      <c r="D173" s="303" t="s">
        <v>453</v>
      </c>
      <c r="E173" s="49" t="s">
        <v>7</v>
      </c>
      <c r="F173" s="305" t="s">
        <v>564</v>
      </c>
      <c r="G173" s="307">
        <v>46142</v>
      </c>
      <c r="H173" s="34" t="s">
        <v>6</v>
      </c>
      <c r="I173" s="309">
        <v>214401.28</v>
      </c>
      <c r="J173" s="161" cm="1">
        <f t="array" ref="J173">_xlfn.IFS(D173="INDUSTOWER","40",D173="RELIANCEIN","44",D173="SIEMENSLTD","120",D173="CLEANMAX","40",D173="AVAADA","40",D173="ARCHTECH","40")+G173</f>
        <v>46182</v>
      </c>
      <c r="K173" s="268">
        <f t="shared" ca="1" si="48"/>
        <v>46148</v>
      </c>
      <c r="L173" s="310">
        <f t="shared" si="55"/>
        <v>46202</v>
      </c>
      <c r="M173" s="301" t="s">
        <v>584</v>
      </c>
      <c r="N173" s="312">
        <f t="shared" si="56"/>
        <v>46142</v>
      </c>
      <c r="O173" s="313"/>
      <c r="P173" s="314"/>
      <c r="Q173" s="270" t="s">
        <v>461</v>
      </c>
      <c r="R173" s="315">
        <f t="shared" si="57"/>
        <v>192961.152</v>
      </c>
      <c r="S173" s="92">
        <v>7.6999999999999999E-2</v>
      </c>
      <c r="T173" s="316">
        <f t="shared" ca="1" si="58"/>
        <v>54</v>
      </c>
      <c r="U173" s="318">
        <f t="shared" ca="1" si="59"/>
        <v>2198</v>
      </c>
      <c r="V173" s="318">
        <f t="shared" ca="1" si="60"/>
        <v>190763.152</v>
      </c>
      <c r="W173" s="319"/>
      <c r="X173" s="320"/>
      <c r="Y173" s="321"/>
      <c r="Z173" s="321"/>
      <c r="AA173" s="322"/>
      <c r="AB173" s="323"/>
      <c r="AC173" s="16" t="e" cm="1">
        <f t="array" ref="AC173">_xlfn.IFS(D173="INDUSTOWER","275000000",D173="RELIANCEIN","220000000",D173="SIEMENSLTD","83330000")-I173</f>
        <v>#N/A</v>
      </c>
      <c r="AD173"/>
    </row>
    <row r="174" spans="1:30" x14ac:dyDescent="0.25">
      <c r="A174" s="298">
        <f>SUBTOTAL(3,B$3:B174)</f>
        <v>0</v>
      </c>
      <c r="B174" s="299">
        <f>SUBTOTAL(3,C$3:C174)</f>
        <v>172</v>
      </c>
      <c r="C174" s="83" t="s">
        <v>93</v>
      </c>
      <c r="D174" s="303" t="s">
        <v>472</v>
      </c>
      <c r="E174" s="49" t="s">
        <v>7</v>
      </c>
      <c r="F174" s="305" t="s">
        <v>565</v>
      </c>
      <c r="G174" s="307">
        <v>46142</v>
      </c>
      <c r="H174" s="34" t="s">
        <v>6</v>
      </c>
      <c r="I174" s="309">
        <v>2909536.76</v>
      </c>
      <c r="J174" s="161" cm="1">
        <f t="array" ref="J174">_xlfn.IFS(D174="INDUSTOWER","40",D174="RELIANCEIN","44",D174="SIEMENSLTD","120",D174="CLEANMAX","40",D174="AVAADA","40",D174="ARCHTECH","40")+G174</f>
        <v>46182</v>
      </c>
      <c r="K174" s="268">
        <f t="shared" ca="1" si="48"/>
        <v>46148</v>
      </c>
      <c r="L174" s="310">
        <f t="shared" si="55"/>
        <v>46202</v>
      </c>
      <c r="M174" s="301" t="s">
        <v>585</v>
      </c>
      <c r="N174" s="312">
        <f t="shared" si="56"/>
        <v>46142</v>
      </c>
      <c r="O174" s="313"/>
      <c r="P174" s="314"/>
      <c r="Q174" s="270" t="s">
        <v>521</v>
      </c>
      <c r="R174" s="315">
        <f t="shared" si="57"/>
        <v>2618583.0839999998</v>
      </c>
      <c r="S174" s="92">
        <v>7.6999999999999999E-2</v>
      </c>
      <c r="T174" s="316">
        <f t="shared" ca="1" si="58"/>
        <v>54</v>
      </c>
      <c r="U174" s="318">
        <f t="shared" ca="1" si="59"/>
        <v>29830</v>
      </c>
      <c r="V174" s="318">
        <f t="shared" ca="1" si="60"/>
        <v>2588753.0839999998</v>
      </c>
      <c r="W174" s="319"/>
      <c r="X174" s="320"/>
      <c r="Y174" s="321"/>
      <c r="Z174" s="321"/>
      <c r="AA174" s="322"/>
      <c r="AB174" s="323"/>
      <c r="AC174" s="16" t="e" cm="1">
        <f t="array" ref="AC174">_xlfn.IFS(D174="INDUSTOWER","275000000",D174="RELIANCEIN","220000000",D174="SIEMENSLTD","83330000")-I174</f>
        <v>#N/A</v>
      </c>
      <c r="AD174"/>
    </row>
    <row r="175" spans="1:30" x14ac:dyDescent="0.25">
      <c r="A175" s="332">
        <f>SUBTOTAL(3,B$3:B259)</f>
        <v>0</v>
      </c>
      <c r="B175" s="300">
        <f>SUBTOTAL(3,C$3:C259)</f>
        <v>257</v>
      </c>
      <c r="C175" s="83" t="s">
        <v>93</v>
      </c>
      <c r="D175" s="303" t="s">
        <v>472</v>
      </c>
      <c r="E175" s="49" t="s">
        <v>7</v>
      </c>
      <c r="F175" s="305" t="s">
        <v>565</v>
      </c>
      <c r="G175" s="307">
        <v>46142</v>
      </c>
      <c r="H175" s="34" t="s">
        <v>6</v>
      </c>
      <c r="I175" s="309">
        <v>36993</v>
      </c>
      <c r="J175" s="161" cm="1">
        <f t="array" ref="J175">_xlfn.IFS(D175="INDUSTOWER","40",D175="RELIANCEIN","44",D175="SIEMENSLTD","120",D175="CLEANMAX","40",D175="AVAADA","40",D175="ARCHTECH","40")+G175</f>
        <v>46182</v>
      </c>
      <c r="K175" s="268">
        <f t="shared" ca="1" si="48"/>
        <v>46148</v>
      </c>
      <c r="L175" s="310">
        <f t="shared" si="55"/>
        <v>46202</v>
      </c>
      <c r="M175" s="301" t="s">
        <v>585</v>
      </c>
      <c r="N175" s="312">
        <f t="shared" si="56"/>
        <v>46142</v>
      </c>
      <c r="O175" s="311"/>
      <c r="P175" s="325"/>
      <c r="Q175" s="270" t="s">
        <v>586</v>
      </c>
      <c r="R175" s="315">
        <f t="shared" si="57"/>
        <v>33293.700000000004</v>
      </c>
      <c r="S175" s="92">
        <v>7.6999999999999999E-2</v>
      </c>
      <c r="T175" s="316">
        <f t="shared" ca="1" si="58"/>
        <v>54</v>
      </c>
      <c r="U175" s="318">
        <f t="shared" ca="1" si="59"/>
        <v>379</v>
      </c>
      <c r="V175" s="318">
        <f t="shared" ca="1" si="60"/>
        <v>32914.700000000004</v>
      </c>
      <c r="W175" s="326"/>
      <c r="X175" s="300"/>
      <c r="Y175" s="327"/>
      <c r="Z175" s="327"/>
      <c r="AA175" s="328"/>
      <c r="AB175" s="329"/>
      <c r="AC175" s="16" t="e" cm="1">
        <f t="array" ref="AC175">_xlfn.IFS(D175="INDUSTOWER","275000000",D175="RELIANCEIN","220000000",D175="SIEMENSLTD","83330000")-I175</f>
        <v>#N/A</v>
      </c>
      <c r="AD175"/>
    </row>
    <row r="176" spans="1:30" x14ac:dyDescent="0.25">
      <c r="A176" s="298">
        <f>SUBTOTAL(3,B$3:B176)</f>
        <v>0</v>
      </c>
      <c r="B176" s="299">
        <f>SUBTOTAL(3,C$3:C176)</f>
        <v>174</v>
      </c>
      <c r="C176" s="83" t="s">
        <v>93</v>
      </c>
      <c r="D176" s="302" t="s">
        <v>27</v>
      </c>
      <c r="E176" s="49" t="s">
        <v>7</v>
      </c>
      <c r="F176" s="304" t="s">
        <v>588</v>
      </c>
      <c r="G176" s="306">
        <v>46145</v>
      </c>
      <c r="H176" s="34" t="s">
        <v>6</v>
      </c>
      <c r="I176" s="308">
        <v>574467.66</v>
      </c>
      <c r="J176" s="330" cm="1">
        <f t="array" ref="J176">_xlfn.IFS(D176="INDUSTOWER","40",D176="RELIANCEIN","44",D176="SIEMENSLTD","120",D176="CLEANMAX","40",D176="AVAADA","40",D176="ARCHTECH","40")+G176</f>
        <v>46185</v>
      </c>
      <c r="K176" s="268">
        <f t="shared" ca="1" si="48"/>
        <v>46148</v>
      </c>
      <c r="L176" s="310">
        <f t="shared" ref="L176:L184" si="61">+J176+20</f>
        <v>46205</v>
      </c>
      <c r="M176" s="300" t="s">
        <v>619</v>
      </c>
      <c r="N176" s="311">
        <f t="shared" ref="N176:N184" si="62">+G176</f>
        <v>46145</v>
      </c>
      <c r="O176" s="313"/>
      <c r="P176" s="314"/>
      <c r="Q176" s="270" t="s">
        <v>76</v>
      </c>
      <c r="R176" s="315">
        <f t="shared" ref="R176:R184" si="63">+I176*0.9</f>
        <v>517020.89400000003</v>
      </c>
      <c r="S176" s="92">
        <v>7.6999999999999999E-2</v>
      </c>
      <c r="T176" s="316">
        <f t="shared" ref="T176:T184" ca="1" si="64">+J176-K176+20</f>
        <v>57</v>
      </c>
      <c r="U176" s="317">
        <f t="shared" ref="U176:U184" ca="1" si="65">ROUND(+R176*S176*T176/365,0)</f>
        <v>6217</v>
      </c>
      <c r="V176" s="318">
        <f t="shared" ref="V176:V184" ca="1" si="66">+R176-U176</f>
        <v>510803.89400000003</v>
      </c>
      <c r="W176" s="319"/>
      <c r="X176" s="320"/>
      <c r="Y176" s="321"/>
      <c r="Z176" s="321"/>
      <c r="AA176" s="322"/>
      <c r="AB176" s="323"/>
      <c r="AC176" s="16" cm="1">
        <f t="array" ref="AC176">_xlfn.IFS(D176="INDUSTOWER","275000000",D176="RELIANCEIN","220000000",D176="SIEMENSLTD","83330000")-I176</f>
        <v>274425532.33999997</v>
      </c>
      <c r="AD176"/>
    </row>
    <row r="177" spans="1:30" x14ac:dyDescent="0.25">
      <c r="A177" s="298">
        <f>SUBTOTAL(3,B$3:B177)</f>
        <v>0</v>
      </c>
      <c r="B177" s="299">
        <f>SUBTOTAL(3,C$3:C177)</f>
        <v>175</v>
      </c>
      <c r="C177" s="83" t="s">
        <v>93</v>
      </c>
      <c r="D177" s="303" t="s">
        <v>27</v>
      </c>
      <c r="E177" s="49" t="s">
        <v>7</v>
      </c>
      <c r="F177" s="305" t="s">
        <v>589</v>
      </c>
      <c r="G177" s="307">
        <v>46145</v>
      </c>
      <c r="H177" s="34" t="s">
        <v>6</v>
      </c>
      <c r="I177" s="309">
        <v>574467.66</v>
      </c>
      <c r="J177" s="331" cm="1">
        <f t="array" ref="J177">_xlfn.IFS(D177="INDUSTOWER","40",D177="RELIANCEIN","44",D177="SIEMENSLTD","120",D177="CLEANMAX","40",D177="AVAADA","40",D177="ARCHTECH","40")+G177</f>
        <v>46185</v>
      </c>
      <c r="K177" s="268">
        <f t="shared" ca="1" si="48"/>
        <v>46148</v>
      </c>
      <c r="L177" s="310">
        <f t="shared" si="61"/>
        <v>46205</v>
      </c>
      <c r="M177" s="301" t="s">
        <v>620</v>
      </c>
      <c r="N177" s="312">
        <f t="shared" si="62"/>
        <v>46145</v>
      </c>
      <c r="O177" s="313"/>
      <c r="P177" s="314"/>
      <c r="Q177" s="270" t="s">
        <v>76</v>
      </c>
      <c r="R177" s="315">
        <f t="shared" si="63"/>
        <v>517020.89400000003</v>
      </c>
      <c r="S177" s="92">
        <v>7.6999999999999999E-2</v>
      </c>
      <c r="T177" s="316">
        <f t="shared" ca="1" si="64"/>
        <v>57</v>
      </c>
      <c r="U177" s="318">
        <f t="shared" ca="1" si="65"/>
        <v>6217</v>
      </c>
      <c r="V177" s="318">
        <f t="shared" ca="1" si="66"/>
        <v>510803.89400000003</v>
      </c>
      <c r="W177" s="319"/>
      <c r="X177" s="320"/>
      <c r="Y177" s="321"/>
      <c r="Z177" s="321"/>
      <c r="AA177" s="322"/>
      <c r="AB177" s="323"/>
      <c r="AC177" s="16" cm="1">
        <f t="array" ref="AC177">_xlfn.IFS(D177="INDUSTOWER","275000000",D177="RELIANCEIN","220000000",D177="SIEMENSLTD","83330000")-I177</f>
        <v>274425532.33999997</v>
      </c>
      <c r="AD177"/>
    </row>
    <row r="178" spans="1:30" x14ac:dyDescent="0.25">
      <c r="A178" s="298">
        <f>SUBTOTAL(3,B$3:B178)</f>
        <v>0</v>
      </c>
      <c r="B178" s="299">
        <f>SUBTOTAL(3,C$3:C178)</f>
        <v>176</v>
      </c>
      <c r="C178" s="83" t="s">
        <v>93</v>
      </c>
      <c r="D178" s="303" t="s">
        <v>27</v>
      </c>
      <c r="E178" s="49" t="s">
        <v>7</v>
      </c>
      <c r="F178" s="305" t="s">
        <v>590</v>
      </c>
      <c r="G178" s="307">
        <v>46145</v>
      </c>
      <c r="H178" s="34" t="s">
        <v>6</v>
      </c>
      <c r="I178" s="309">
        <v>506008.78</v>
      </c>
      <c r="J178" s="331" cm="1">
        <f t="array" ref="J178">_xlfn.IFS(D178="INDUSTOWER","40",D178="RELIANCEIN","44",D178="SIEMENSLTD","120",D178="CLEANMAX","40",D178="AVAADA","40",D178="ARCHTECH","40")+G178</f>
        <v>46185</v>
      </c>
      <c r="K178" s="268">
        <f t="shared" ca="1" si="48"/>
        <v>46148</v>
      </c>
      <c r="L178" s="310">
        <f t="shared" si="61"/>
        <v>46205</v>
      </c>
      <c r="M178" s="301" t="s">
        <v>621</v>
      </c>
      <c r="N178" s="312">
        <f t="shared" si="62"/>
        <v>46145</v>
      </c>
      <c r="O178" s="313"/>
      <c r="P178" s="314"/>
      <c r="Q178" s="270" t="s">
        <v>29</v>
      </c>
      <c r="R178" s="315">
        <f t="shared" si="63"/>
        <v>455407.90200000006</v>
      </c>
      <c r="S178" s="92">
        <v>7.6999999999999999E-2</v>
      </c>
      <c r="T178" s="316">
        <f t="shared" ca="1" si="64"/>
        <v>57</v>
      </c>
      <c r="U178" s="318">
        <f t="shared" ca="1" si="65"/>
        <v>5476</v>
      </c>
      <c r="V178" s="318">
        <f t="shared" ca="1" si="66"/>
        <v>449931.90200000006</v>
      </c>
      <c r="W178" s="319"/>
      <c r="X178" s="320"/>
      <c r="Y178" s="321"/>
      <c r="Z178" s="321"/>
      <c r="AA178" s="322"/>
      <c r="AB178" s="323"/>
      <c r="AC178" s="16" cm="1">
        <f t="array" ref="AC178">_xlfn.IFS(D178="INDUSTOWER","275000000",D178="RELIANCEIN","220000000",D178="SIEMENSLTD","83330000")-I178</f>
        <v>274493991.22000003</v>
      </c>
      <c r="AD178"/>
    </row>
    <row r="179" spans="1:30" x14ac:dyDescent="0.25">
      <c r="A179" s="298">
        <f>SUBTOTAL(3,B$3:B179)</f>
        <v>0</v>
      </c>
      <c r="B179" s="299">
        <f>SUBTOTAL(3,C$3:C179)</f>
        <v>177</v>
      </c>
      <c r="C179" s="83" t="s">
        <v>93</v>
      </c>
      <c r="D179" s="303" t="s">
        <v>27</v>
      </c>
      <c r="E179" s="49" t="s">
        <v>7</v>
      </c>
      <c r="F179" s="305" t="s">
        <v>591</v>
      </c>
      <c r="G179" s="307">
        <v>46145</v>
      </c>
      <c r="H179" s="34" t="s">
        <v>6</v>
      </c>
      <c r="I179" s="309">
        <v>94808.28</v>
      </c>
      <c r="J179" s="331" cm="1">
        <f t="array" ref="J179">_xlfn.IFS(D179="INDUSTOWER","40",D179="RELIANCEIN","44",D179="SIEMENSLTD","120",D179="CLEANMAX","40",D179="AVAADA","40",D179="ARCHTECH","40")+G179</f>
        <v>46185</v>
      </c>
      <c r="K179" s="268">
        <f t="shared" ca="1" si="48"/>
        <v>46148</v>
      </c>
      <c r="L179" s="310">
        <f t="shared" si="61"/>
        <v>46205</v>
      </c>
      <c r="M179" s="301" t="s">
        <v>622</v>
      </c>
      <c r="N179" s="312">
        <f t="shared" si="62"/>
        <v>46145</v>
      </c>
      <c r="O179" s="313"/>
      <c r="P179" s="314"/>
      <c r="Q179" s="270" t="s">
        <v>587</v>
      </c>
      <c r="R179" s="315">
        <f t="shared" si="63"/>
        <v>85327.452000000005</v>
      </c>
      <c r="S179" s="92">
        <v>7.6999999999999999E-2</v>
      </c>
      <c r="T179" s="316">
        <f t="shared" ca="1" si="64"/>
        <v>57</v>
      </c>
      <c r="U179" s="318">
        <f t="shared" ca="1" si="65"/>
        <v>1026</v>
      </c>
      <c r="V179" s="318">
        <f t="shared" ca="1" si="66"/>
        <v>84301.452000000005</v>
      </c>
      <c r="W179" s="319"/>
      <c r="X179" s="320"/>
      <c r="Y179" s="321"/>
      <c r="Z179" s="321"/>
      <c r="AA179" s="322"/>
      <c r="AB179" s="323"/>
      <c r="AC179" s="16" cm="1">
        <f t="array" ref="AC179">_xlfn.IFS(D179="INDUSTOWER","275000000",D179="RELIANCEIN","220000000",D179="SIEMENSLTD","83330000")-I179</f>
        <v>274905191.72000003</v>
      </c>
      <c r="AD179"/>
    </row>
    <row r="180" spans="1:30" x14ac:dyDescent="0.25">
      <c r="A180" s="298">
        <f>SUBTOTAL(3,B$3:B180)</f>
        <v>0</v>
      </c>
      <c r="B180" s="299">
        <f>SUBTOTAL(3,C$3:C180)</f>
        <v>178</v>
      </c>
      <c r="C180" s="83" t="s">
        <v>93</v>
      </c>
      <c r="D180" s="303" t="s">
        <v>27</v>
      </c>
      <c r="E180" s="49" t="s">
        <v>7</v>
      </c>
      <c r="F180" s="305" t="s">
        <v>592</v>
      </c>
      <c r="G180" s="307">
        <v>46145</v>
      </c>
      <c r="H180" s="34" t="s">
        <v>6</v>
      </c>
      <c r="I180" s="309">
        <v>94808.28</v>
      </c>
      <c r="J180" s="331" cm="1">
        <f t="array" ref="J180">_xlfn.IFS(D180="INDUSTOWER","40",D180="RELIANCEIN","44",D180="SIEMENSLTD","120",D180="CLEANMAX","40",D180="AVAADA","40",D180="ARCHTECH","40")+G180</f>
        <v>46185</v>
      </c>
      <c r="K180" s="268">
        <f t="shared" ca="1" si="48"/>
        <v>46148</v>
      </c>
      <c r="L180" s="310">
        <f t="shared" si="61"/>
        <v>46205</v>
      </c>
      <c r="M180" s="301" t="s">
        <v>623</v>
      </c>
      <c r="N180" s="312">
        <f t="shared" si="62"/>
        <v>46145</v>
      </c>
      <c r="O180" s="313"/>
      <c r="P180" s="314"/>
      <c r="Q180" s="270" t="s">
        <v>587</v>
      </c>
      <c r="R180" s="315">
        <f t="shared" si="63"/>
        <v>85327.452000000005</v>
      </c>
      <c r="S180" s="92">
        <v>7.6999999999999999E-2</v>
      </c>
      <c r="T180" s="316">
        <f t="shared" ca="1" si="64"/>
        <v>57</v>
      </c>
      <c r="U180" s="318">
        <f t="shared" ca="1" si="65"/>
        <v>1026</v>
      </c>
      <c r="V180" s="318">
        <f t="shared" ca="1" si="66"/>
        <v>84301.452000000005</v>
      </c>
      <c r="W180" s="319"/>
      <c r="X180" s="320"/>
      <c r="Y180" s="321"/>
      <c r="Z180" s="321"/>
      <c r="AA180" s="322"/>
      <c r="AB180" s="323"/>
      <c r="AC180" s="16" cm="1">
        <f t="array" ref="AC180">_xlfn.IFS(D180="INDUSTOWER","275000000",D180="RELIANCEIN","220000000",D180="SIEMENSLTD","83330000")-I180</f>
        <v>274905191.72000003</v>
      </c>
      <c r="AD180"/>
    </row>
    <row r="181" spans="1:30" x14ac:dyDescent="0.25">
      <c r="A181" s="298">
        <f>SUBTOTAL(3,B$3:B181)</f>
        <v>0</v>
      </c>
      <c r="B181" s="299">
        <f>SUBTOTAL(3,C$3:C181)</f>
        <v>179</v>
      </c>
      <c r="C181" s="83" t="s">
        <v>93</v>
      </c>
      <c r="D181" s="303" t="s">
        <v>27</v>
      </c>
      <c r="E181" s="49" t="s">
        <v>7</v>
      </c>
      <c r="F181" s="305" t="s">
        <v>593</v>
      </c>
      <c r="G181" s="307">
        <v>46145</v>
      </c>
      <c r="H181" s="34" t="s">
        <v>6</v>
      </c>
      <c r="I181" s="309">
        <v>506008.78</v>
      </c>
      <c r="J181" s="331" cm="1">
        <f t="array" ref="J181">_xlfn.IFS(D181="INDUSTOWER","40",D181="RELIANCEIN","44",D181="SIEMENSLTD","120",D181="CLEANMAX","40",D181="AVAADA","40",D181="ARCHTECH","40")+G181</f>
        <v>46185</v>
      </c>
      <c r="K181" s="268">
        <f t="shared" ca="1" si="48"/>
        <v>46148</v>
      </c>
      <c r="L181" s="310">
        <f t="shared" si="61"/>
        <v>46205</v>
      </c>
      <c r="M181" s="301" t="s">
        <v>624</v>
      </c>
      <c r="N181" s="312">
        <f t="shared" si="62"/>
        <v>46145</v>
      </c>
      <c r="O181" s="313"/>
      <c r="P181" s="314"/>
      <c r="Q181" s="270" t="s">
        <v>29</v>
      </c>
      <c r="R181" s="315">
        <f t="shared" si="63"/>
        <v>455407.90200000006</v>
      </c>
      <c r="S181" s="92">
        <v>7.6999999999999999E-2</v>
      </c>
      <c r="T181" s="316">
        <f t="shared" ca="1" si="64"/>
        <v>57</v>
      </c>
      <c r="U181" s="318">
        <f t="shared" ca="1" si="65"/>
        <v>5476</v>
      </c>
      <c r="V181" s="318">
        <f t="shared" ca="1" si="66"/>
        <v>449931.90200000006</v>
      </c>
      <c r="W181" s="319"/>
      <c r="X181" s="320"/>
      <c r="Y181" s="321"/>
      <c r="Z181" s="321"/>
      <c r="AA181" s="322"/>
      <c r="AB181" s="323"/>
      <c r="AC181" s="16" cm="1">
        <f t="array" ref="AC181">_xlfn.IFS(D181="INDUSTOWER","275000000",D181="RELIANCEIN","220000000",D181="SIEMENSLTD","83330000")-I181</f>
        <v>274493991.22000003</v>
      </c>
      <c r="AD181"/>
    </row>
    <row r="182" spans="1:30" x14ac:dyDescent="0.25">
      <c r="A182" s="298">
        <f>SUBTOTAL(3,B$3:B182)</f>
        <v>0</v>
      </c>
      <c r="B182" s="299">
        <f>SUBTOTAL(3,C$3:C182)</f>
        <v>180</v>
      </c>
      <c r="C182" s="83" t="s">
        <v>93</v>
      </c>
      <c r="D182" s="303" t="s">
        <v>27</v>
      </c>
      <c r="E182" s="49" t="s">
        <v>7</v>
      </c>
      <c r="F182" s="305" t="s">
        <v>594</v>
      </c>
      <c r="G182" s="307">
        <v>46145</v>
      </c>
      <c r="H182" s="34" t="s">
        <v>6</v>
      </c>
      <c r="I182" s="309">
        <v>94808.28</v>
      </c>
      <c r="J182" s="331" cm="1">
        <f t="array" ref="J182">_xlfn.IFS(D182="INDUSTOWER","40",D182="RELIANCEIN","44",D182="SIEMENSLTD","120",D182="CLEANMAX","40",D182="AVAADA","40",D182="ARCHTECH","40")+G182</f>
        <v>46185</v>
      </c>
      <c r="K182" s="268">
        <f t="shared" ref="K182:K245" ca="1" si="67">TODAY()</f>
        <v>46148</v>
      </c>
      <c r="L182" s="310">
        <f t="shared" si="61"/>
        <v>46205</v>
      </c>
      <c r="M182" s="301" t="s">
        <v>625</v>
      </c>
      <c r="N182" s="312">
        <f t="shared" si="62"/>
        <v>46145</v>
      </c>
      <c r="O182" s="313"/>
      <c r="P182" s="314"/>
      <c r="Q182" s="270" t="s">
        <v>587</v>
      </c>
      <c r="R182" s="315">
        <f t="shared" si="63"/>
        <v>85327.452000000005</v>
      </c>
      <c r="S182" s="92">
        <v>7.6999999999999999E-2</v>
      </c>
      <c r="T182" s="316">
        <f t="shared" ca="1" si="64"/>
        <v>57</v>
      </c>
      <c r="U182" s="318">
        <f t="shared" ca="1" si="65"/>
        <v>1026</v>
      </c>
      <c r="V182" s="318">
        <f t="shared" ca="1" si="66"/>
        <v>84301.452000000005</v>
      </c>
      <c r="W182" s="319"/>
      <c r="X182" s="320"/>
      <c r="Y182" s="321"/>
      <c r="Z182" s="321"/>
      <c r="AA182" s="322"/>
      <c r="AB182" s="323"/>
      <c r="AC182" s="16" cm="1">
        <f t="array" ref="AC182">_xlfn.IFS(D182="INDUSTOWER","275000000",D182="RELIANCEIN","220000000",D182="SIEMENSLTD","83330000")-I182</f>
        <v>274905191.72000003</v>
      </c>
      <c r="AD182"/>
    </row>
    <row r="183" spans="1:30" x14ac:dyDescent="0.25">
      <c r="A183" s="298">
        <f>SUBTOTAL(3,B$3:B183)</f>
        <v>0</v>
      </c>
      <c r="B183" s="299">
        <f>SUBTOTAL(3,C$3:C183)</f>
        <v>181</v>
      </c>
      <c r="C183" s="83" t="s">
        <v>93</v>
      </c>
      <c r="D183" s="303" t="s">
        <v>27</v>
      </c>
      <c r="E183" s="49" t="s">
        <v>7</v>
      </c>
      <c r="F183" s="305" t="s">
        <v>595</v>
      </c>
      <c r="G183" s="307">
        <v>46145</v>
      </c>
      <c r="H183" s="34" t="s">
        <v>6</v>
      </c>
      <c r="I183" s="309">
        <v>506008.78</v>
      </c>
      <c r="J183" s="331" cm="1">
        <f t="array" ref="J183">_xlfn.IFS(D183="INDUSTOWER","40",D183="RELIANCEIN","44",D183="SIEMENSLTD","120",D183="CLEANMAX","40",D183="AVAADA","40",D183="ARCHTECH","40")+G183</f>
        <v>46185</v>
      </c>
      <c r="K183" s="268">
        <f t="shared" ca="1" si="67"/>
        <v>46148</v>
      </c>
      <c r="L183" s="310">
        <f t="shared" si="61"/>
        <v>46205</v>
      </c>
      <c r="M183" s="301" t="s">
        <v>626</v>
      </c>
      <c r="N183" s="312">
        <f t="shared" si="62"/>
        <v>46145</v>
      </c>
      <c r="O183" s="313"/>
      <c r="P183" s="314"/>
      <c r="Q183" s="270" t="s">
        <v>29</v>
      </c>
      <c r="R183" s="315">
        <f t="shared" si="63"/>
        <v>455407.90200000006</v>
      </c>
      <c r="S183" s="92">
        <v>7.6999999999999999E-2</v>
      </c>
      <c r="T183" s="316">
        <f t="shared" ca="1" si="64"/>
        <v>57</v>
      </c>
      <c r="U183" s="318">
        <f t="shared" ca="1" si="65"/>
        <v>5476</v>
      </c>
      <c r="V183" s="318">
        <f t="shared" ca="1" si="66"/>
        <v>449931.90200000006</v>
      </c>
      <c r="W183" s="319"/>
      <c r="X183" s="320"/>
      <c r="Y183" s="321"/>
      <c r="Z183" s="321"/>
      <c r="AA183" s="322"/>
      <c r="AB183" s="323"/>
      <c r="AC183" s="16" cm="1">
        <f t="array" ref="AC183">_xlfn.IFS(D183="INDUSTOWER","275000000",D183="RELIANCEIN","220000000",D183="SIEMENSLTD","83330000")-I183</f>
        <v>274493991.22000003</v>
      </c>
      <c r="AD183"/>
    </row>
    <row r="184" spans="1:30" x14ac:dyDescent="0.25">
      <c r="A184" s="332">
        <f>SUBTOTAL(3,B$3:B259)</f>
        <v>0</v>
      </c>
      <c r="B184" s="300">
        <f>SUBTOTAL(3,C$3:C259)</f>
        <v>257</v>
      </c>
      <c r="C184" s="83" t="s">
        <v>93</v>
      </c>
      <c r="D184" s="303" t="s">
        <v>24</v>
      </c>
      <c r="E184" s="49" t="s">
        <v>7</v>
      </c>
      <c r="F184" s="305" t="s">
        <v>596</v>
      </c>
      <c r="G184" s="307">
        <v>46145</v>
      </c>
      <c r="H184" s="34" t="s">
        <v>6</v>
      </c>
      <c r="I184" s="309">
        <v>822460</v>
      </c>
      <c r="J184" s="331" cm="1">
        <f t="array" ref="J184">_xlfn.IFS(D184="INDUSTOWER","40",D184="RELIANCEIN","44",D184="SIEMENSLTD","120",D184="CLEANMAX","40",D184="AVAADA","40",D184="ARCHTECH","40")+G184</f>
        <v>46189</v>
      </c>
      <c r="K184" s="268">
        <f t="shared" ca="1" si="67"/>
        <v>46148</v>
      </c>
      <c r="L184" s="310">
        <f t="shared" si="61"/>
        <v>46209</v>
      </c>
      <c r="M184" s="301" t="s">
        <v>627</v>
      </c>
      <c r="N184" s="312">
        <f t="shared" si="62"/>
        <v>46145</v>
      </c>
      <c r="O184" s="311"/>
      <c r="P184" s="325"/>
      <c r="Q184" s="270" t="s">
        <v>196</v>
      </c>
      <c r="R184" s="315">
        <f t="shared" si="63"/>
        <v>740214</v>
      </c>
      <c r="S184" s="92">
        <v>7.6999999999999999E-2</v>
      </c>
      <c r="T184" s="316">
        <f t="shared" ca="1" si="64"/>
        <v>61</v>
      </c>
      <c r="U184" s="318">
        <f t="shared" ca="1" si="65"/>
        <v>9525</v>
      </c>
      <c r="V184" s="318">
        <f t="shared" ca="1" si="66"/>
        <v>730689</v>
      </c>
      <c r="W184" s="326"/>
      <c r="X184" s="300"/>
      <c r="Y184" s="327"/>
      <c r="Z184" s="327"/>
      <c r="AA184" s="328"/>
      <c r="AB184" s="329"/>
      <c r="AC184" s="16" cm="1">
        <f t="array" ref="AC184">_xlfn.IFS(D184="INDUSTOWER","275000000",D184="RELIANCEIN","220000000",D184="SIEMENSLTD","83330000")-I184</f>
        <v>219177540</v>
      </c>
      <c r="AD184"/>
    </row>
    <row r="185" spans="1:30" x14ac:dyDescent="0.25">
      <c r="A185" s="298">
        <f>SUBTOTAL(3,B$3:B185)</f>
        <v>0</v>
      </c>
      <c r="B185" s="299">
        <f>SUBTOTAL(3,C$3:C185)</f>
        <v>183</v>
      </c>
      <c r="C185" s="83" t="s">
        <v>93</v>
      </c>
      <c r="D185" s="302" t="s">
        <v>27</v>
      </c>
      <c r="E185" s="49" t="s">
        <v>7</v>
      </c>
      <c r="F185" s="304" t="s">
        <v>597</v>
      </c>
      <c r="G185" s="306">
        <v>46145</v>
      </c>
      <c r="H185" s="34" t="s">
        <v>6</v>
      </c>
      <c r="I185" s="308">
        <v>506008.78</v>
      </c>
      <c r="J185" s="330" cm="1">
        <f t="array" ref="J185">_xlfn.IFS(D185="INDUSTOWER","40",D185="RELIANCEIN","44",D185="SIEMENSLTD","120",D185="CLEANMAX","40",D185="AVAADA","40",D185="ARCHTECH","40")+G185</f>
        <v>46185</v>
      </c>
      <c r="K185" s="268">
        <f t="shared" ca="1" si="67"/>
        <v>46148</v>
      </c>
      <c r="L185" s="310">
        <f t="shared" ref="L185:L186" si="68">+J185+20</f>
        <v>46205</v>
      </c>
      <c r="M185" s="300" t="s">
        <v>628</v>
      </c>
      <c r="N185" s="311">
        <f t="shared" ref="N185:N186" si="69">+G185</f>
        <v>46145</v>
      </c>
      <c r="O185" s="313"/>
      <c r="P185" s="314"/>
      <c r="Q185" s="270" t="s">
        <v>29</v>
      </c>
      <c r="R185" s="315">
        <f t="shared" ref="R185:R186" si="70">+I185*0.9</f>
        <v>455407.90200000006</v>
      </c>
      <c r="S185" s="92">
        <v>7.6999999999999999E-2</v>
      </c>
      <c r="T185" s="316">
        <f t="shared" ref="T185:T186" ca="1" si="71">+J185-K185+20</f>
        <v>57</v>
      </c>
      <c r="U185" s="317">
        <f t="shared" ref="U185:U186" ca="1" si="72">ROUND(+R185*S185*T185/365,0)</f>
        <v>5476</v>
      </c>
      <c r="V185" s="318">
        <f t="shared" ref="V185:V186" ca="1" si="73">+R185-U185</f>
        <v>449931.90200000006</v>
      </c>
      <c r="W185" s="319"/>
      <c r="X185" s="320"/>
      <c r="Y185" s="321"/>
      <c r="Z185" s="321"/>
      <c r="AA185" s="322"/>
      <c r="AB185" s="323"/>
      <c r="AC185" s="16" cm="1">
        <f t="array" ref="AC185">_xlfn.IFS(D185="INDUSTOWER","275000000",D185="RELIANCEIN","220000000",D185="SIEMENSLTD","83330000")-I185</f>
        <v>274493991.22000003</v>
      </c>
      <c r="AD185"/>
    </row>
    <row r="186" spans="1:30" x14ac:dyDescent="0.25">
      <c r="A186" s="332">
        <f>SUBTOTAL(3,B$3:B259)</f>
        <v>0</v>
      </c>
      <c r="B186" s="300">
        <f>SUBTOTAL(3,C$3:C259)</f>
        <v>257</v>
      </c>
      <c r="C186" s="83" t="s">
        <v>93</v>
      </c>
      <c r="D186" s="303" t="s">
        <v>27</v>
      </c>
      <c r="E186" s="49" t="s">
        <v>7</v>
      </c>
      <c r="F186" s="305" t="s">
        <v>598</v>
      </c>
      <c r="G186" s="307">
        <v>46145</v>
      </c>
      <c r="H186" s="34" t="s">
        <v>6</v>
      </c>
      <c r="I186" s="309">
        <v>94808.28</v>
      </c>
      <c r="J186" s="331" cm="1">
        <f t="array" ref="J186">_xlfn.IFS(D186="INDUSTOWER","40",D186="RELIANCEIN","44",D186="SIEMENSLTD","120",D186="CLEANMAX","40",D186="AVAADA","40",D186="ARCHTECH","40")+G186</f>
        <v>46185</v>
      </c>
      <c r="K186" s="268">
        <f t="shared" ca="1" si="67"/>
        <v>46148</v>
      </c>
      <c r="L186" s="310">
        <f t="shared" si="68"/>
        <v>46205</v>
      </c>
      <c r="M186" s="301" t="s">
        <v>629</v>
      </c>
      <c r="N186" s="312">
        <f t="shared" si="69"/>
        <v>46145</v>
      </c>
      <c r="O186" s="311"/>
      <c r="P186" s="325"/>
      <c r="Q186" s="270" t="s">
        <v>587</v>
      </c>
      <c r="R186" s="315">
        <f t="shared" si="70"/>
        <v>85327.452000000005</v>
      </c>
      <c r="S186" s="92">
        <v>7.6999999999999999E-2</v>
      </c>
      <c r="T186" s="316">
        <f t="shared" ca="1" si="71"/>
        <v>57</v>
      </c>
      <c r="U186" s="318">
        <f t="shared" ca="1" si="72"/>
        <v>1026</v>
      </c>
      <c r="V186" s="318">
        <f t="shared" ca="1" si="73"/>
        <v>84301.452000000005</v>
      </c>
      <c r="W186" s="326"/>
      <c r="X186" s="300"/>
      <c r="Y186" s="327"/>
      <c r="Z186" s="327"/>
      <c r="AA186" s="328"/>
      <c r="AB186" s="329"/>
      <c r="AC186" s="16" cm="1">
        <f t="array" ref="AC186">_xlfn.IFS(D186="INDUSTOWER","275000000",D186="RELIANCEIN","220000000",D186="SIEMENSLTD","83330000")-I186</f>
        <v>274905191.72000003</v>
      </c>
      <c r="AD186"/>
    </row>
    <row r="187" spans="1:30" x14ac:dyDescent="0.25">
      <c r="A187" s="298">
        <f>SUBTOTAL(3,B$3:B187)</f>
        <v>0</v>
      </c>
      <c r="B187" s="299">
        <f>SUBTOTAL(3,C$3:C187)</f>
        <v>185</v>
      </c>
      <c r="C187" s="83" t="s">
        <v>93</v>
      </c>
      <c r="D187" s="302" t="s">
        <v>27</v>
      </c>
      <c r="E187" s="49" t="s">
        <v>7</v>
      </c>
      <c r="F187" s="304" t="s">
        <v>599</v>
      </c>
      <c r="G187" s="306">
        <v>46145</v>
      </c>
      <c r="H187" s="34" t="s">
        <v>6</v>
      </c>
      <c r="I187" s="308">
        <v>506008.78</v>
      </c>
      <c r="J187" s="330" cm="1">
        <f t="array" ref="J187">_xlfn.IFS(D187="INDUSTOWER","40",D187="RELIANCEIN","44",D187="SIEMENSLTD","120",D187="CLEANMAX","40",D187="AVAADA","40",D187="ARCHTECH","40")+G187</f>
        <v>46185</v>
      </c>
      <c r="K187" s="268">
        <f t="shared" ca="1" si="67"/>
        <v>46148</v>
      </c>
      <c r="L187" s="310">
        <f t="shared" ref="L187:L192" si="74">+J187+20</f>
        <v>46205</v>
      </c>
      <c r="M187" s="300" t="s">
        <v>630</v>
      </c>
      <c r="N187" s="311">
        <f t="shared" ref="N187:N192" si="75">+G187</f>
        <v>46145</v>
      </c>
      <c r="O187" s="313"/>
      <c r="P187" s="314"/>
      <c r="Q187" s="270" t="s">
        <v>29</v>
      </c>
      <c r="R187" s="315">
        <f t="shared" ref="R187:R192" si="76">+I187*0.9</f>
        <v>455407.90200000006</v>
      </c>
      <c r="S187" s="92">
        <v>7.6999999999999999E-2</v>
      </c>
      <c r="T187" s="316">
        <f t="shared" ref="T187:T192" ca="1" si="77">+J187-K187+20</f>
        <v>57</v>
      </c>
      <c r="U187" s="317">
        <f t="shared" ref="U187:U192" ca="1" si="78">ROUND(+R187*S187*T187/365,0)</f>
        <v>5476</v>
      </c>
      <c r="V187" s="318">
        <f t="shared" ref="V187:V192" ca="1" si="79">+R187-U187</f>
        <v>449931.90200000006</v>
      </c>
      <c r="W187" s="319"/>
      <c r="X187" s="320"/>
      <c r="Y187" s="321"/>
      <c r="Z187" s="321"/>
      <c r="AA187" s="322"/>
      <c r="AB187" s="323"/>
      <c r="AC187" s="16" cm="1">
        <f t="array" ref="AC187">_xlfn.IFS(D187="INDUSTOWER","275000000",D187="RELIANCEIN","220000000",D187="SIEMENSLTD","83330000")-I187</f>
        <v>274493991.22000003</v>
      </c>
      <c r="AD187"/>
    </row>
    <row r="188" spans="1:30" x14ac:dyDescent="0.25">
      <c r="A188" s="298">
        <f>SUBTOTAL(3,B$3:B188)</f>
        <v>0</v>
      </c>
      <c r="B188" s="299">
        <f>SUBTOTAL(3,C$3:C188)</f>
        <v>186</v>
      </c>
      <c r="C188" s="83" t="s">
        <v>93</v>
      </c>
      <c r="D188" s="303" t="s">
        <v>27</v>
      </c>
      <c r="E188" s="49" t="s">
        <v>7</v>
      </c>
      <c r="F188" s="305" t="s">
        <v>600</v>
      </c>
      <c r="G188" s="307">
        <v>46145</v>
      </c>
      <c r="H188" s="34" t="s">
        <v>6</v>
      </c>
      <c r="I188" s="309">
        <v>94808.28</v>
      </c>
      <c r="J188" s="331" cm="1">
        <f t="array" ref="J188">_xlfn.IFS(D188="INDUSTOWER","40",D188="RELIANCEIN","44",D188="SIEMENSLTD","120",D188="CLEANMAX","40",D188="AVAADA","40",D188="ARCHTECH","40")+G188</f>
        <v>46185</v>
      </c>
      <c r="K188" s="268">
        <f t="shared" ca="1" si="67"/>
        <v>46148</v>
      </c>
      <c r="L188" s="310">
        <f t="shared" si="74"/>
        <v>46205</v>
      </c>
      <c r="M188" s="301" t="s">
        <v>631</v>
      </c>
      <c r="N188" s="312">
        <f t="shared" si="75"/>
        <v>46145</v>
      </c>
      <c r="O188" s="313"/>
      <c r="P188" s="314"/>
      <c r="Q188" s="270" t="s">
        <v>587</v>
      </c>
      <c r="R188" s="315">
        <f t="shared" si="76"/>
        <v>85327.452000000005</v>
      </c>
      <c r="S188" s="92">
        <v>7.6999999999999999E-2</v>
      </c>
      <c r="T188" s="316">
        <f t="shared" ca="1" si="77"/>
        <v>57</v>
      </c>
      <c r="U188" s="318">
        <f t="shared" ca="1" si="78"/>
        <v>1026</v>
      </c>
      <c r="V188" s="318">
        <f t="shared" ca="1" si="79"/>
        <v>84301.452000000005</v>
      </c>
      <c r="W188" s="319"/>
      <c r="X188" s="320"/>
      <c r="Y188" s="321"/>
      <c r="Z188" s="321"/>
      <c r="AA188" s="322"/>
      <c r="AB188" s="323"/>
      <c r="AC188" s="16" cm="1">
        <f t="array" ref="AC188">_xlfn.IFS(D188="INDUSTOWER","275000000",D188="RELIANCEIN","220000000",D188="SIEMENSLTD","83330000")-I188</f>
        <v>274905191.72000003</v>
      </c>
      <c r="AD188"/>
    </row>
    <row r="189" spans="1:30" x14ac:dyDescent="0.25">
      <c r="A189" s="298">
        <f>SUBTOTAL(3,B$3:B189)</f>
        <v>0</v>
      </c>
      <c r="B189" s="299">
        <f>SUBTOTAL(3,C$3:C189)</f>
        <v>187</v>
      </c>
      <c r="C189" s="83" t="s">
        <v>93</v>
      </c>
      <c r="D189" s="303" t="s">
        <v>27</v>
      </c>
      <c r="E189" s="49" t="s">
        <v>7</v>
      </c>
      <c r="F189" s="305" t="s">
        <v>601</v>
      </c>
      <c r="G189" s="307">
        <v>46145</v>
      </c>
      <c r="H189" s="34" t="s">
        <v>6</v>
      </c>
      <c r="I189" s="309">
        <v>506008.78</v>
      </c>
      <c r="J189" s="331" cm="1">
        <f t="array" ref="J189">_xlfn.IFS(D189="INDUSTOWER","40",D189="RELIANCEIN","44",D189="SIEMENSLTD","120",D189="CLEANMAX","40",D189="AVAADA","40",D189="ARCHTECH","40")+G189</f>
        <v>46185</v>
      </c>
      <c r="K189" s="268">
        <f t="shared" ca="1" si="67"/>
        <v>46148</v>
      </c>
      <c r="L189" s="310">
        <f t="shared" si="74"/>
        <v>46205</v>
      </c>
      <c r="M189" s="301" t="s">
        <v>632</v>
      </c>
      <c r="N189" s="312">
        <f t="shared" si="75"/>
        <v>46145</v>
      </c>
      <c r="O189" s="313"/>
      <c r="P189" s="314"/>
      <c r="Q189" s="270" t="s">
        <v>29</v>
      </c>
      <c r="R189" s="315">
        <f t="shared" si="76"/>
        <v>455407.90200000006</v>
      </c>
      <c r="S189" s="92">
        <v>7.6999999999999999E-2</v>
      </c>
      <c r="T189" s="316">
        <f t="shared" ca="1" si="77"/>
        <v>57</v>
      </c>
      <c r="U189" s="318">
        <f t="shared" ca="1" si="78"/>
        <v>5476</v>
      </c>
      <c r="V189" s="318">
        <f t="shared" ca="1" si="79"/>
        <v>449931.90200000006</v>
      </c>
      <c r="W189" s="319"/>
      <c r="X189" s="320"/>
      <c r="Y189" s="321"/>
      <c r="Z189" s="321"/>
      <c r="AA189" s="322"/>
      <c r="AB189" s="323"/>
      <c r="AC189" s="16" cm="1">
        <f t="array" ref="AC189">_xlfn.IFS(D189="INDUSTOWER","275000000",D189="RELIANCEIN","220000000",D189="SIEMENSLTD","83330000")-I189</f>
        <v>274493991.22000003</v>
      </c>
      <c r="AD189"/>
    </row>
    <row r="190" spans="1:30" x14ac:dyDescent="0.25">
      <c r="A190" s="298">
        <f>SUBTOTAL(3,B$3:B190)</f>
        <v>0</v>
      </c>
      <c r="B190" s="299">
        <f>SUBTOTAL(3,C$3:C190)</f>
        <v>188</v>
      </c>
      <c r="C190" s="83" t="s">
        <v>93</v>
      </c>
      <c r="D190" s="303" t="s">
        <v>27</v>
      </c>
      <c r="E190" s="49" t="s">
        <v>7</v>
      </c>
      <c r="F190" s="305" t="s">
        <v>602</v>
      </c>
      <c r="G190" s="307">
        <v>46145</v>
      </c>
      <c r="H190" s="34" t="s">
        <v>6</v>
      </c>
      <c r="I190" s="309">
        <v>94808.28</v>
      </c>
      <c r="J190" s="331" cm="1">
        <f t="array" ref="J190">_xlfn.IFS(D190="INDUSTOWER","40",D190="RELIANCEIN","44",D190="SIEMENSLTD","120",D190="CLEANMAX","40",D190="AVAADA","40",D190="ARCHTECH","40")+G190</f>
        <v>46185</v>
      </c>
      <c r="K190" s="268">
        <f t="shared" ca="1" si="67"/>
        <v>46148</v>
      </c>
      <c r="L190" s="310">
        <f t="shared" si="74"/>
        <v>46205</v>
      </c>
      <c r="M190" s="301" t="s">
        <v>633</v>
      </c>
      <c r="N190" s="312">
        <f t="shared" si="75"/>
        <v>46145</v>
      </c>
      <c r="O190" s="313"/>
      <c r="P190" s="314"/>
      <c r="Q190" s="270" t="s">
        <v>587</v>
      </c>
      <c r="R190" s="315">
        <f t="shared" si="76"/>
        <v>85327.452000000005</v>
      </c>
      <c r="S190" s="92">
        <v>7.6999999999999999E-2</v>
      </c>
      <c r="T190" s="316">
        <f t="shared" ca="1" si="77"/>
        <v>57</v>
      </c>
      <c r="U190" s="318">
        <f t="shared" ca="1" si="78"/>
        <v>1026</v>
      </c>
      <c r="V190" s="318">
        <f t="shared" ca="1" si="79"/>
        <v>84301.452000000005</v>
      </c>
      <c r="W190" s="319"/>
      <c r="X190" s="320"/>
      <c r="Y190" s="321"/>
      <c r="Z190" s="321"/>
      <c r="AA190" s="322"/>
      <c r="AB190" s="323"/>
      <c r="AC190" s="16" cm="1">
        <f t="array" ref="AC190">_xlfn.IFS(D190="INDUSTOWER","275000000",D190="RELIANCEIN","220000000",D190="SIEMENSLTD","83330000")-I190</f>
        <v>274905191.72000003</v>
      </c>
      <c r="AD190"/>
    </row>
    <row r="191" spans="1:30" x14ac:dyDescent="0.25">
      <c r="A191" s="298">
        <f>SUBTOTAL(3,B$3:B191)</f>
        <v>0</v>
      </c>
      <c r="B191" s="299">
        <f>SUBTOTAL(3,C$3:C191)</f>
        <v>189</v>
      </c>
      <c r="C191" s="83" t="s">
        <v>93</v>
      </c>
      <c r="D191" s="303" t="s">
        <v>27</v>
      </c>
      <c r="E191" s="49" t="s">
        <v>7</v>
      </c>
      <c r="F191" s="305" t="s">
        <v>603</v>
      </c>
      <c r="G191" s="307">
        <v>46145</v>
      </c>
      <c r="H191" s="34" t="s">
        <v>6</v>
      </c>
      <c r="I191" s="309">
        <v>506008.78</v>
      </c>
      <c r="J191" s="331" cm="1">
        <f t="array" ref="J191">_xlfn.IFS(D191="INDUSTOWER","40",D191="RELIANCEIN","44",D191="SIEMENSLTD","120",D191="CLEANMAX","40",D191="AVAADA","40",D191="ARCHTECH","40")+G191</f>
        <v>46185</v>
      </c>
      <c r="K191" s="268">
        <f t="shared" ca="1" si="67"/>
        <v>46148</v>
      </c>
      <c r="L191" s="310">
        <f t="shared" si="74"/>
        <v>46205</v>
      </c>
      <c r="M191" s="301" t="s">
        <v>634</v>
      </c>
      <c r="N191" s="312">
        <f t="shared" si="75"/>
        <v>46145</v>
      </c>
      <c r="O191" s="313"/>
      <c r="P191" s="314"/>
      <c r="Q191" s="270" t="s">
        <v>29</v>
      </c>
      <c r="R191" s="315">
        <f t="shared" si="76"/>
        <v>455407.90200000006</v>
      </c>
      <c r="S191" s="92">
        <v>7.6999999999999999E-2</v>
      </c>
      <c r="T191" s="316">
        <f t="shared" ca="1" si="77"/>
        <v>57</v>
      </c>
      <c r="U191" s="318">
        <f t="shared" ca="1" si="78"/>
        <v>5476</v>
      </c>
      <c r="V191" s="318">
        <f t="shared" ca="1" si="79"/>
        <v>449931.90200000006</v>
      </c>
      <c r="W191" s="319"/>
      <c r="X191" s="320"/>
      <c r="Y191" s="321"/>
      <c r="Z191" s="321"/>
      <c r="AA191" s="322"/>
      <c r="AB191" s="323"/>
      <c r="AC191" s="16" cm="1">
        <f t="array" ref="AC191">_xlfn.IFS(D191="INDUSTOWER","275000000",D191="RELIANCEIN","220000000",D191="SIEMENSLTD","83330000")-I191</f>
        <v>274493991.22000003</v>
      </c>
      <c r="AD191"/>
    </row>
    <row r="192" spans="1:30" x14ac:dyDescent="0.25">
      <c r="A192" s="332">
        <f>SUBTOTAL(3,B$3:B259)</f>
        <v>0</v>
      </c>
      <c r="B192" s="300">
        <f>SUBTOTAL(3,C$3:C259)</f>
        <v>257</v>
      </c>
      <c r="C192" s="83" t="s">
        <v>93</v>
      </c>
      <c r="D192" s="303" t="s">
        <v>27</v>
      </c>
      <c r="E192" s="49" t="s">
        <v>7</v>
      </c>
      <c r="F192" s="305" t="s">
        <v>604</v>
      </c>
      <c r="G192" s="307">
        <v>46145</v>
      </c>
      <c r="H192" s="34" t="s">
        <v>6</v>
      </c>
      <c r="I192" s="309">
        <v>94808.28</v>
      </c>
      <c r="J192" s="331" cm="1">
        <f t="array" ref="J192">_xlfn.IFS(D192="INDUSTOWER","40",D192="RELIANCEIN","44",D192="SIEMENSLTD","120",D192="CLEANMAX","40",D192="AVAADA","40",D192="ARCHTECH","40")+G192</f>
        <v>46185</v>
      </c>
      <c r="K192" s="268">
        <f t="shared" ca="1" si="67"/>
        <v>46148</v>
      </c>
      <c r="L192" s="310">
        <f t="shared" si="74"/>
        <v>46205</v>
      </c>
      <c r="M192" s="301" t="s">
        <v>635</v>
      </c>
      <c r="N192" s="312">
        <f t="shared" si="75"/>
        <v>46145</v>
      </c>
      <c r="O192" s="311"/>
      <c r="P192" s="325"/>
      <c r="Q192" s="270" t="s">
        <v>587</v>
      </c>
      <c r="R192" s="315">
        <f t="shared" si="76"/>
        <v>85327.452000000005</v>
      </c>
      <c r="S192" s="92">
        <v>7.6999999999999999E-2</v>
      </c>
      <c r="T192" s="316">
        <f t="shared" ca="1" si="77"/>
        <v>57</v>
      </c>
      <c r="U192" s="318">
        <f t="shared" ca="1" si="78"/>
        <v>1026</v>
      </c>
      <c r="V192" s="318">
        <f t="shared" ca="1" si="79"/>
        <v>84301.452000000005</v>
      </c>
      <c r="W192" s="326"/>
      <c r="X192" s="300"/>
      <c r="Y192" s="327"/>
      <c r="Z192" s="327"/>
      <c r="AA192" s="328"/>
      <c r="AB192" s="329"/>
      <c r="AC192" s="16" cm="1">
        <f t="array" ref="AC192">_xlfn.IFS(D192="INDUSTOWER","275000000",D192="RELIANCEIN","220000000",D192="SIEMENSLTD","83330000")-I192</f>
        <v>274905191.72000003</v>
      </c>
      <c r="AD192"/>
    </row>
    <row r="193" spans="1:30" x14ac:dyDescent="0.25">
      <c r="A193" s="298">
        <f>SUBTOTAL(3,B$3:B193)</f>
        <v>0</v>
      </c>
      <c r="B193" s="299">
        <f>SUBTOTAL(3,C$3:C193)</f>
        <v>191</v>
      </c>
      <c r="C193" s="83" t="s">
        <v>93</v>
      </c>
      <c r="D193" s="302" t="s">
        <v>27</v>
      </c>
      <c r="E193" s="49" t="s">
        <v>7</v>
      </c>
      <c r="F193" s="304" t="s">
        <v>605</v>
      </c>
      <c r="G193" s="306">
        <v>46145</v>
      </c>
      <c r="H193" s="34" t="s">
        <v>6</v>
      </c>
      <c r="I193" s="308">
        <v>506008.78</v>
      </c>
      <c r="J193" s="330" cm="1">
        <f t="array" ref="J193">_xlfn.IFS(D193="INDUSTOWER","40",D193="RELIANCEIN","44",D193="SIEMENSLTD","120",D193="CLEANMAX","40",D193="AVAADA","40",D193="ARCHTECH","40")+G193</f>
        <v>46185</v>
      </c>
      <c r="K193" s="268">
        <f t="shared" ca="1" si="67"/>
        <v>46148</v>
      </c>
      <c r="L193" s="310">
        <f t="shared" ref="L193:L206" si="80">+J193+20</f>
        <v>46205</v>
      </c>
      <c r="M193" s="300" t="s">
        <v>636</v>
      </c>
      <c r="N193" s="311">
        <f t="shared" ref="N193:N206" si="81">+G193</f>
        <v>46145</v>
      </c>
      <c r="O193" s="313"/>
      <c r="P193" s="314"/>
      <c r="Q193" s="270" t="s">
        <v>29</v>
      </c>
      <c r="R193" s="315">
        <f t="shared" ref="R193:R206" si="82">+I193*0.9</f>
        <v>455407.90200000006</v>
      </c>
      <c r="S193" s="92">
        <v>7.6999999999999999E-2</v>
      </c>
      <c r="T193" s="316">
        <f t="shared" ref="T193:T206" ca="1" si="83">+J193-K193+20</f>
        <v>57</v>
      </c>
      <c r="U193" s="317">
        <f t="shared" ref="U193:U206" ca="1" si="84">ROUND(+R193*S193*T193/365,0)</f>
        <v>5476</v>
      </c>
      <c r="V193" s="318">
        <f t="shared" ref="V193:V206" ca="1" si="85">+R193-U193</f>
        <v>449931.90200000006</v>
      </c>
      <c r="W193" s="319"/>
      <c r="X193" s="320"/>
      <c r="Y193" s="321"/>
      <c r="Z193" s="321"/>
      <c r="AA193" s="322"/>
      <c r="AB193" s="323"/>
      <c r="AC193" s="16" cm="1">
        <f t="array" ref="AC193">_xlfn.IFS(D193="INDUSTOWER","275000000",D193="RELIANCEIN","220000000",D193="SIEMENSLTD","83330000")-I193</f>
        <v>274493991.22000003</v>
      </c>
      <c r="AD193"/>
    </row>
    <row r="194" spans="1:30" x14ac:dyDescent="0.25">
      <c r="A194" s="298">
        <f>SUBTOTAL(3,B$3:B194)</f>
        <v>0</v>
      </c>
      <c r="B194" s="299">
        <f>SUBTOTAL(3,C$3:C194)</f>
        <v>192</v>
      </c>
      <c r="C194" s="83" t="s">
        <v>93</v>
      </c>
      <c r="D194" s="303" t="s">
        <v>27</v>
      </c>
      <c r="E194" s="49" t="s">
        <v>7</v>
      </c>
      <c r="F194" s="305" t="s">
        <v>606</v>
      </c>
      <c r="G194" s="307">
        <v>46145</v>
      </c>
      <c r="H194" s="34" t="s">
        <v>6</v>
      </c>
      <c r="I194" s="309">
        <v>94808.28</v>
      </c>
      <c r="J194" s="331" cm="1">
        <f t="array" ref="J194">_xlfn.IFS(D194="INDUSTOWER","40",D194="RELIANCEIN","44",D194="SIEMENSLTD","120",D194="CLEANMAX","40",D194="AVAADA","40",D194="ARCHTECH","40")+G194</f>
        <v>46185</v>
      </c>
      <c r="K194" s="268">
        <f t="shared" ca="1" si="67"/>
        <v>46148</v>
      </c>
      <c r="L194" s="310">
        <f t="shared" si="80"/>
        <v>46205</v>
      </c>
      <c r="M194" s="301" t="s">
        <v>637</v>
      </c>
      <c r="N194" s="312">
        <f t="shared" si="81"/>
        <v>46145</v>
      </c>
      <c r="O194" s="313"/>
      <c r="P194" s="314"/>
      <c r="Q194" s="270" t="s">
        <v>587</v>
      </c>
      <c r="R194" s="315">
        <f t="shared" si="82"/>
        <v>85327.452000000005</v>
      </c>
      <c r="S194" s="92">
        <v>7.6999999999999999E-2</v>
      </c>
      <c r="T194" s="316">
        <f t="shared" ca="1" si="83"/>
        <v>57</v>
      </c>
      <c r="U194" s="318">
        <f t="shared" ca="1" si="84"/>
        <v>1026</v>
      </c>
      <c r="V194" s="318">
        <f t="shared" ca="1" si="85"/>
        <v>84301.452000000005</v>
      </c>
      <c r="W194" s="319"/>
      <c r="X194" s="320"/>
      <c r="Y194" s="321"/>
      <c r="Z194" s="321"/>
      <c r="AA194" s="322"/>
      <c r="AB194" s="323"/>
      <c r="AC194" s="16" cm="1">
        <f t="array" ref="AC194">_xlfn.IFS(D194="INDUSTOWER","275000000",D194="RELIANCEIN","220000000",D194="SIEMENSLTD","83330000")-I194</f>
        <v>274905191.72000003</v>
      </c>
    </row>
    <row r="195" spans="1:30" x14ac:dyDescent="0.25">
      <c r="A195" s="298">
        <f>SUBTOTAL(3,B$3:B195)</f>
        <v>0</v>
      </c>
      <c r="B195" s="299">
        <f>SUBTOTAL(3,C$3:C195)</f>
        <v>193</v>
      </c>
      <c r="C195" s="83" t="s">
        <v>93</v>
      </c>
      <c r="D195" s="303" t="s">
        <v>27</v>
      </c>
      <c r="E195" s="49" t="s">
        <v>7</v>
      </c>
      <c r="F195" s="305" t="s">
        <v>607</v>
      </c>
      <c r="G195" s="307">
        <v>46145</v>
      </c>
      <c r="H195" s="34" t="s">
        <v>6</v>
      </c>
      <c r="I195" s="309">
        <v>506008.78</v>
      </c>
      <c r="J195" s="331" cm="1">
        <f t="array" ref="J195">_xlfn.IFS(D195="INDUSTOWER","40",D195="RELIANCEIN","44",D195="SIEMENSLTD","120",D195="CLEANMAX","40",D195="AVAADA","40",D195="ARCHTECH","40")+G195</f>
        <v>46185</v>
      </c>
      <c r="K195" s="268">
        <f t="shared" ca="1" si="67"/>
        <v>46148</v>
      </c>
      <c r="L195" s="310">
        <f t="shared" si="80"/>
        <v>46205</v>
      </c>
      <c r="M195" s="301" t="s">
        <v>638</v>
      </c>
      <c r="N195" s="312">
        <f t="shared" si="81"/>
        <v>46145</v>
      </c>
      <c r="O195" s="313"/>
      <c r="P195" s="314"/>
      <c r="Q195" s="270" t="s">
        <v>29</v>
      </c>
      <c r="R195" s="315">
        <f t="shared" si="82"/>
        <v>455407.90200000006</v>
      </c>
      <c r="S195" s="92">
        <v>7.6999999999999999E-2</v>
      </c>
      <c r="T195" s="316">
        <f t="shared" ca="1" si="83"/>
        <v>57</v>
      </c>
      <c r="U195" s="318">
        <f t="shared" ca="1" si="84"/>
        <v>5476</v>
      </c>
      <c r="V195" s="318">
        <f t="shared" ca="1" si="85"/>
        <v>449931.90200000006</v>
      </c>
      <c r="W195" s="319"/>
      <c r="X195" s="320"/>
      <c r="Y195" s="321"/>
      <c r="Z195" s="321"/>
      <c r="AA195" s="322"/>
      <c r="AB195" s="323"/>
      <c r="AC195" s="16" cm="1">
        <f t="array" ref="AC195">_xlfn.IFS(D195="INDUSTOWER","275000000",D195="RELIANCEIN","220000000",D195="SIEMENSLTD","83330000")-I195</f>
        <v>274493991.22000003</v>
      </c>
    </row>
    <row r="196" spans="1:30" x14ac:dyDescent="0.25">
      <c r="A196" s="298">
        <f>SUBTOTAL(3,B$3:B196)</f>
        <v>0</v>
      </c>
      <c r="B196" s="299">
        <f>SUBTOTAL(3,C$3:C196)</f>
        <v>194</v>
      </c>
      <c r="C196" s="83" t="s">
        <v>93</v>
      </c>
      <c r="D196" s="303" t="s">
        <v>27</v>
      </c>
      <c r="E196" s="49" t="s">
        <v>7</v>
      </c>
      <c r="F196" s="305" t="s">
        <v>608</v>
      </c>
      <c r="G196" s="307">
        <v>46145</v>
      </c>
      <c r="H196" s="34" t="s">
        <v>6</v>
      </c>
      <c r="I196" s="309">
        <v>94808.28</v>
      </c>
      <c r="J196" s="331" cm="1">
        <f t="array" ref="J196">_xlfn.IFS(D196="INDUSTOWER","40",D196="RELIANCEIN","44",D196="SIEMENSLTD","120",D196="CLEANMAX","40",D196="AVAADA","40",D196="ARCHTECH","40")+G196</f>
        <v>46185</v>
      </c>
      <c r="K196" s="268">
        <f t="shared" ca="1" si="67"/>
        <v>46148</v>
      </c>
      <c r="L196" s="310">
        <f t="shared" si="80"/>
        <v>46205</v>
      </c>
      <c r="M196" s="301" t="s">
        <v>639</v>
      </c>
      <c r="N196" s="312">
        <f t="shared" si="81"/>
        <v>46145</v>
      </c>
      <c r="O196" s="313"/>
      <c r="P196" s="314"/>
      <c r="Q196" s="270" t="s">
        <v>587</v>
      </c>
      <c r="R196" s="315">
        <f t="shared" si="82"/>
        <v>85327.452000000005</v>
      </c>
      <c r="S196" s="92">
        <v>7.6999999999999999E-2</v>
      </c>
      <c r="T196" s="316">
        <f t="shared" ca="1" si="83"/>
        <v>57</v>
      </c>
      <c r="U196" s="318">
        <f t="shared" ca="1" si="84"/>
        <v>1026</v>
      </c>
      <c r="V196" s="318">
        <f t="shared" ca="1" si="85"/>
        <v>84301.452000000005</v>
      </c>
      <c r="W196" s="319"/>
      <c r="X196" s="320"/>
      <c r="Y196" s="321"/>
      <c r="Z196" s="321"/>
      <c r="AA196" s="322"/>
      <c r="AB196" s="323"/>
      <c r="AC196" s="16" cm="1">
        <f t="array" ref="AC196">_xlfn.IFS(D196="INDUSTOWER","275000000",D196="RELIANCEIN","220000000",D196="SIEMENSLTD","83330000")-I196</f>
        <v>274905191.72000003</v>
      </c>
    </row>
    <row r="197" spans="1:30" x14ac:dyDescent="0.25">
      <c r="A197" s="298">
        <f>SUBTOTAL(3,B$3:B197)</f>
        <v>0</v>
      </c>
      <c r="B197" s="299">
        <f>SUBTOTAL(3,C$3:C197)</f>
        <v>195</v>
      </c>
      <c r="C197" s="83" t="s">
        <v>93</v>
      </c>
      <c r="D197" s="303" t="s">
        <v>27</v>
      </c>
      <c r="E197" s="49" t="s">
        <v>7</v>
      </c>
      <c r="F197" s="305" t="s">
        <v>609</v>
      </c>
      <c r="G197" s="307">
        <v>46145</v>
      </c>
      <c r="H197" s="34" t="s">
        <v>6</v>
      </c>
      <c r="I197" s="309">
        <v>506008.78</v>
      </c>
      <c r="J197" s="331" cm="1">
        <f t="array" ref="J197">_xlfn.IFS(D197="INDUSTOWER","40",D197="RELIANCEIN","44",D197="SIEMENSLTD","120",D197="CLEANMAX","40",D197="AVAADA","40",D197="ARCHTECH","40")+G197</f>
        <v>46185</v>
      </c>
      <c r="K197" s="268">
        <f t="shared" ca="1" si="67"/>
        <v>46148</v>
      </c>
      <c r="L197" s="310">
        <f t="shared" si="80"/>
        <v>46205</v>
      </c>
      <c r="M197" s="301" t="s">
        <v>640</v>
      </c>
      <c r="N197" s="312">
        <f t="shared" si="81"/>
        <v>46145</v>
      </c>
      <c r="O197" s="313"/>
      <c r="P197" s="314"/>
      <c r="Q197" s="270" t="s">
        <v>29</v>
      </c>
      <c r="R197" s="315">
        <f t="shared" si="82"/>
        <v>455407.90200000006</v>
      </c>
      <c r="S197" s="92">
        <v>7.6999999999999999E-2</v>
      </c>
      <c r="T197" s="316">
        <f t="shared" ca="1" si="83"/>
        <v>57</v>
      </c>
      <c r="U197" s="318">
        <f t="shared" ca="1" si="84"/>
        <v>5476</v>
      </c>
      <c r="V197" s="318">
        <f t="shared" ca="1" si="85"/>
        <v>449931.90200000006</v>
      </c>
      <c r="W197" s="319"/>
      <c r="X197" s="320"/>
      <c r="Y197" s="321"/>
      <c r="Z197" s="321"/>
      <c r="AA197" s="322"/>
      <c r="AB197" s="323"/>
      <c r="AC197" s="16" cm="1">
        <f t="array" ref="AC197">_xlfn.IFS(D197="INDUSTOWER","275000000",D197="RELIANCEIN","220000000",D197="SIEMENSLTD","83330000")-I197</f>
        <v>274493991.22000003</v>
      </c>
    </row>
    <row r="198" spans="1:30" x14ac:dyDescent="0.25">
      <c r="A198" s="298">
        <f>SUBTOTAL(3,B$3:B198)</f>
        <v>0</v>
      </c>
      <c r="B198" s="299">
        <f>SUBTOTAL(3,C$3:C198)</f>
        <v>196</v>
      </c>
      <c r="C198" s="83" t="s">
        <v>93</v>
      </c>
      <c r="D198" s="303" t="s">
        <v>27</v>
      </c>
      <c r="E198" s="49" t="s">
        <v>7</v>
      </c>
      <c r="F198" s="305" t="s">
        <v>610</v>
      </c>
      <c r="G198" s="307">
        <v>46145</v>
      </c>
      <c r="H198" s="34" t="s">
        <v>6</v>
      </c>
      <c r="I198" s="309">
        <v>94808.28</v>
      </c>
      <c r="J198" s="331" cm="1">
        <f t="array" ref="J198">_xlfn.IFS(D198="INDUSTOWER","40",D198="RELIANCEIN","44",D198="SIEMENSLTD","120",D198="CLEANMAX","40",D198="AVAADA","40",D198="ARCHTECH","40")+G198</f>
        <v>46185</v>
      </c>
      <c r="K198" s="268">
        <f t="shared" ca="1" si="67"/>
        <v>46148</v>
      </c>
      <c r="L198" s="310">
        <f t="shared" si="80"/>
        <v>46205</v>
      </c>
      <c r="M198" s="301" t="s">
        <v>641</v>
      </c>
      <c r="N198" s="312">
        <f t="shared" si="81"/>
        <v>46145</v>
      </c>
      <c r="O198" s="313"/>
      <c r="P198" s="314"/>
      <c r="Q198" s="270" t="s">
        <v>587</v>
      </c>
      <c r="R198" s="315">
        <f t="shared" si="82"/>
        <v>85327.452000000005</v>
      </c>
      <c r="S198" s="92">
        <v>7.6999999999999999E-2</v>
      </c>
      <c r="T198" s="316">
        <f t="shared" ca="1" si="83"/>
        <v>57</v>
      </c>
      <c r="U198" s="318">
        <f t="shared" ca="1" si="84"/>
        <v>1026</v>
      </c>
      <c r="V198" s="318">
        <f t="shared" ca="1" si="85"/>
        <v>84301.452000000005</v>
      </c>
      <c r="W198" s="319"/>
      <c r="X198" s="320"/>
      <c r="Y198" s="321"/>
      <c r="Z198" s="321"/>
      <c r="AA198" s="322"/>
      <c r="AB198" s="323"/>
      <c r="AC198" s="16" cm="1">
        <f t="array" ref="AC198">_xlfn.IFS(D198="INDUSTOWER","275000000",D198="RELIANCEIN","220000000",D198="SIEMENSLTD","83330000")-I198</f>
        <v>274905191.72000003</v>
      </c>
    </row>
    <row r="199" spans="1:30" x14ac:dyDescent="0.25">
      <c r="A199" s="298">
        <f>SUBTOTAL(3,B$3:B199)</f>
        <v>0</v>
      </c>
      <c r="B199" s="299">
        <f>SUBTOTAL(3,C$3:C199)</f>
        <v>197</v>
      </c>
      <c r="C199" s="83" t="s">
        <v>93</v>
      </c>
      <c r="D199" s="303" t="s">
        <v>24</v>
      </c>
      <c r="E199" s="49" t="s">
        <v>7</v>
      </c>
      <c r="F199" s="305" t="s">
        <v>611</v>
      </c>
      <c r="G199" s="307">
        <v>46145</v>
      </c>
      <c r="H199" s="34" t="s">
        <v>6</v>
      </c>
      <c r="I199" s="309">
        <v>822460</v>
      </c>
      <c r="J199" s="331" cm="1">
        <f t="array" ref="J199">_xlfn.IFS(D199="INDUSTOWER","40",D199="RELIANCEIN","44",D199="SIEMENSLTD","120",D199="CLEANMAX","40",D199="AVAADA","40",D199="ARCHTECH","40")+G199</f>
        <v>46189</v>
      </c>
      <c r="K199" s="268">
        <f t="shared" ca="1" si="67"/>
        <v>46148</v>
      </c>
      <c r="L199" s="310">
        <f t="shared" si="80"/>
        <v>46209</v>
      </c>
      <c r="M199" s="301" t="s">
        <v>642</v>
      </c>
      <c r="N199" s="312">
        <f t="shared" si="81"/>
        <v>46145</v>
      </c>
      <c r="O199" s="313"/>
      <c r="P199" s="314"/>
      <c r="Q199" s="270" t="s">
        <v>196</v>
      </c>
      <c r="R199" s="315">
        <f t="shared" si="82"/>
        <v>740214</v>
      </c>
      <c r="S199" s="92">
        <v>7.6999999999999999E-2</v>
      </c>
      <c r="T199" s="316">
        <f t="shared" ca="1" si="83"/>
        <v>61</v>
      </c>
      <c r="U199" s="318">
        <f t="shared" ca="1" si="84"/>
        <v>9525</v>
      </c>
      <c r="V199" s="318">
        <f t="shared" ca="1" si="85"/>
        <v>730689</v>
      </c>
      <c r="W199" s="319"/>
      <c r="X199" s="320"/>
      <c r="Y199" s="321"/>
      <c r="Z199" s="321"/>
      <c r="AA199" s="322"/>
      <c r="AB199" s="323"/>
      <c r="AC199" s="16" cm="1">
        <f t="array" ref="AC199">_xlfn.IFS(D199="INDUSTOWER","275000000",D199="RELIANCEIN","220000000",D199="SIEMENSLTD","83330000")-I199</f>
        <v>219177540</v>
      </c>
    </row>
    <row r="200" spans="1:30" x14ac:dyDescent="0.25">
      <c r="A200" s="298">
        <f>SUBTOTAL(3,B$3:B200)</f>
        <v>0</v>
      </c>
      <c r="B200" s="299">
        <f>SUBTOTAL(3,C$3:C200)</f>
        <v>198</v>
      </c>
      <c r="C200" s="83" t="s">
        <v>93</v>
      </c>
      <c r="D200" s="303" t="s">
        <v>27</v>
      </c>
      <c r="E200" s="49" t="s">
        <v>7</v>
      </c>
      <c r="F200" s="305" t="s">
        <v>612</v>
      </c>
      <c r="G200" s="307">
        <v>46145</v>
      </c>
      <c r="H200" s="34" t="s">
        <v>6</v>
      </c>
      <c r="I200" s="309">
        <v>506008.78</v>
      </c>
      <c r="J200" s="331" cm="1">
        <f t="array" ref="J200">_xlfn.IFS(D200="INDUSTOWER","40",D200="RELIANCEIN","44",D200="SIEMENSLTD","120",D200="CLEANMAX","40",D200="AVAADA","40",D200="ARCHTECH","40")+G200</f>
        <v>46185</v>
      </c>
      <c r="K200" s="268">
        <f t="shared" ca="1" si="67"/>
        <v>46148</v>
      </c>
      <c r="L200" s="310">
        <f t="shared" si="80"/>
        <v>46205</v>
      </c>
      <c r="M200" s="301" t="s">
        <v>643</v>
      </c>
      <c r="N200" s="312">
        <f t="shared" si="81"/>
        <v>46145</v>
      </c>
      <c r="O200" s="313"/>
      <c r="P200" s="314"/>
      <c r="Q200" s="270" t="s">
        <v>29</v>
      </c>
      <c r="R200" s="315">
        <f t="shared" si="82"/>
        <v>455407.90200000006</v>
      </c>
      <c r="S200" s="92">
        <v>7.6999999999999999E-2</v>
      </c>
      <c r="T200" s="316">
        <f t="shared" ca="1" si="83"/>
        <v>57</v>
      </c>
      <c r="U200" s="318">
        <f t="shared" ca="1" si="84"/>
        <v>5476</v>
      </c>
      <c r="V200" s="318">
        <f t="shared" ca="1" si="85"/>
        <v>449931.90200000006</v>
      </c>
      <c r="W200" s="319"/>
      <c r="X200" s="320"/>
      <c r="Y200" s="321"/>
      <c r="Z200" s="321"/>
      <c r="AA200" s="322"/>
      <c r="AB200" s="323"/>
      <c r="AC200" s="16" cm="1">
        <f t="array" ref="AC200">_xlfn.IFS(D200="INDUSTOWER","275000000",D200="RELIANCEIN","220000000",D200="SIEMENSLTD","83330000")-I200</f>
        <v>274493991.22000003</v>
      </c>
    </row>
    <row r="201" spans="1:30" x14ac:dyDescent="0.25">
      <c r="A201" s="298">
        <f>SUBTOTAL(3,B$3:B201)</f>
        <v>0</v>
      </c>
      <c r="B201" s="299">
        <f>SUBTOTAL(3,C$3:C201)</f>
        <v>199</v>
      </c>
      <c r="C201" s="83" t="s">
        <v>93</v>
      </c>
      <c r="D201" s="303" t="s">
        <v>27</v>
      </c>
      <c r="E201" s="49" t="s">
        <v>7</v>
      </c>
      <c r="F201" s="305" t="s">
        <v>613</v>
      </c>
      <c r="G201" s="307">
        <v>46145</v>
      </c>
      <c r="H201" s="34" t="s">
        <v>6</v>
      </c>
      <c r="I201" s="309">
        <v>94808.28</v>
      </c>
      <c r="J201" s="331" cm="1">
        <f t="array" ref="J201">_xlfn.IFS(D201="INDUSTOWER","40",D201="RELIANCEIN","44",D201="SIEMENSLTD","120",D201="CLEANMAX","40",D201="AVAADA","40",D201="ARCHTECH","40")+G201</f>
        <v>46185</v>
      </c>
      <c r="K201" s="268">
        <f t="shared" ca="1" si="67"/>
        <v>46148</v>
      </c>
      <c r="L201" s="310">
        <f t="shared" si="80"/>
        <v>46205</v>
      </c>
      <c r="M201" s="301" t="s">
        <v>644</v>
      </c>
      <c r="N201" s="312">
        <f t="shared" si="81"/>
        <v>46145</v>
      </c>
      <c r="O201" s="313"/>
      <c r="P201" s="314"/>
      <c r="Q201" s="270" t="s">
        <v>587</v>
      </c>
      <c r="R201" s="315">
        <f t="shared" si="82"/>
        <v>85327.452000000005</v>
      </c>
      <c r="S201" s="92">
        <v>7.6999999999999999E-2</v>
      </c>
      <c r="T201" s="316">
        <f t="shared" ca="1" si="83"/>
        <v>57</v>
      </c>
      <c r="U201" s="318">
        <f t="shared" ca="1" si="84"/>
        <v>1026</v>
      </c>
      <c r="V201" s="318">
        <f t="shared" ca="1" si="85"/>
        <v>84301.452000000005</v>
      </c>
      <c r="W201" s="319"/>
      <c r="X201" s="320"/>
      <c r="Y201" s="321"/>
      <c r="Z201" s="321"/>
      <c r="AA201" s="322"/>
      <c r="AB201" s="323"/>
      <c r="AC201" s="16" cm="1">
        <f t="array" ref="AC201">_xlfn.IFS(D201="INDUSTOWER","275000000",D201="RELIANCEIN","220000000",D201="SIEMENSLTD","83330000")-I201</f>
        <v>274905191.72000003</v>
      </c>
    </row>
    <row r="202" spans="1:30" x14ac:dyDescent="0.25">
      <c r="A202" s="298">
        <f>SUBTOTAL(3,B$3:B202)</f>
        <v>0</v>
      </c>
      <c r="B202" s="299">
        <f>SUBTOTAL(3,C$3:C202)</f>
        <v>200</v>
      </c>
      <c r="C202" s="83" t="s">
        <v>93</v>
      </c>
      <c r="D202" s="303" t="s">
        <v>27</v>
      </c>
      <c r="E202" s="49" t="s">
        <v>7</v>
      </c>
      <c r="F202" s="305" t="s">
        <v>614</v>
      </c>
      <c r="G202" s="307">
        <v>46145</v>
      </c>
      <c r="H202" s="34" t="s">
        <v>6</v>
      </c>
      <c r="I202" s="309">
        <v>506008.78</v>
      </c>
      <c r="J202" s="331" cm="1">
        <f t="array" ref="J202">_xlfn.IFS(D202="INDUSTOWER","40",D202="RELIANCEIN","44",D202="SIEMENSLTD","120",D202="CLEANMAX","40",D202="AVAADA","40",D202="ARCHTECH","40")+G202</f>
        <v>46185</v>
      </c>
      <c r="K202" s="268">
        <f t="shared" ca="1" si="67"/>
        <v>46148</v>
      </c>
      <c r="L202" s="310">
        <f t="shared" si="80"/>
        <v>46205</v>
      </c>
      <c r="M202" s="301" t="s">
        <v>645</v>
      </c>
      <c r="N202" s="312">
        <f t="shared" si="81"/>
        <v>46145</v>
      </c>
      <c r="O202" s="313"/>
      <c r="P202" s="314"/>
      <c r="Q202" s="270" t="s">
        <v>29</v>
      </c>
      <c r="R202" s="315">
        <f t="shared" si="82"/>
        <v>455407.90200000006</v>
      </c>
      <c r="S202" s="92">
        <v>7.6999999999999999E-2</v>
      </c>
      <c r="T202" s="316">
        <f t="shared" ca="1" si="83"/>
        <v>57</v>
      </c>
      <c r="U202" s="318">
        <f t="shared" ca="1" si="84"/>
        <v>5476</v>
      </c>
      <c r="V202" s="318">
        <f t="shared" ca="1" si="85"/>
        <v>449931.90200000006</v>
      </c>
      <c r="W202" s="319"/>
      <c r="X202" s="320"/>
      <c r="Y202" s="321"/>
      <c r="Z202" s="321"/>
      <c r="AA202" s="322"/>
      <c r="AB202" s="323"/>
      <c r="AC202" s="16" cm="1">
        <f t="array" ref="AC202">_xlfn.IFS(D202="INDUSTOWER","275000000",D202="RELIANCEIN","220000000",D202="SIEMENSLTD","83330000")-I202</f>
        <v>274493991.22000003</v>
      </c>
    </row>
    <row r="203" spans="1:30" x14ac:dyDescent="0.25">
      <c r="A203" s="298">
        <f>SUBTOTAL(3,B$3:B203)</f>
        <v>0</v>
      </c>
      <c r="B203" s="299">
        <f>SUBTOTAL(3,C$3:C203)</f>
        <v>201</v>
      </c>
      <c r="C203" s="83" t="s">
        <v>93</v>
      </c>
      <c r="D203" s="303" t="s">
        <v>27</v>
      </c>
      <c r="E203" s="49" t="s">
        <v>7</v>
      </c>
      <c r="F203" s="305" t="s">
        <v>615</v>
      </c>
      <c r="G203" s="307">
        <v>46145</v>
      </c>
      <c r="H203" s="34" t="s">
        <v>6</v>
      </c>
      <c r="I203" s="309">
        <v>94808.28</v>
      </c>
      <c r="J203" s="331" cm="1">
        <f t="array" ref="J203">_xlfn.IFS(D203="INDUSTOWER","40",D203="RELIANCEIN","44",D203="SIEMENSLTD","120",D203="CLEANMAX","40",D203="AVAADA","40",D203="ARCHTECH","40")+G203</f>
        <v>46185</v>
      </c>
      <c r="K203" s="268">
        <f t="shared" ca="1" si="67"/>
        <v>46148</v>
      </c>
      <c r="L203" s="310">
        <f t="shared" si="80"/>
        <v>46205</v>
      </c>
      <c r="M203" s="301" t="s">
        <v>646</v>
      </c>
      <c r="N203" s="312">
        <f t="shared" si="81"/>
        <v>46145</v>
      </c>
      <c r="O203" s="313"/>
      <c r="P203" s="314"/>
      <c r="Q203" s="270" t="s">
        <v>587</v>
      </c>
      <c r="R203" s="315">
        <f t="shared" si="82"/>
        <v>85327.452000000005</v>
      </c>
      <c r="S203" s="92">
        <v>7.6999999999999999E-2</v>
      </c>
      <c r="T203" s="316">
        <f t="shared" ca="1" si="83"/>
        <v>57</v>
      </c>
      <c r="U203" s="318">
        <f t="shared" ca="1" si="84"/>
        <v>1026</v>
      </c>
      <c r="V203" s="318">
        <f t="shared" ca="1" si="85"/>
        <v>84301.452000000005</v>
      </c>
      <c r="W203" s="319"/>
      <c r="X203" s="320"/>
      <c r="Y203" s="321"/>
      <c r="Z203" s="321"/>
      <c r="AA203" s="322"/>
      <c r="AB203" s="323"/>
      <c r="AC203" s="16" cm="1">
        <f t="array" ref="AC203">_xlfn.IFS(D203="INDUSTOWER","275000000",D203="RELIANCEIN","220000000",D203="SIEMENSLTD","83330000")-I203</f>
        <v>274905191.72000003</v>
      </c>
    </row>
    <row r="204" spans="1:30" x14ac:dyDescent="0.25">
      <c r="A204" s="298">
        <f>SUBTOTAL(3,B$3:B204)</f>
        <v>0</v>
      </c>
      <c r="B204" s="299">
        <f>SUBTOTAL(3,C$3:C204)</f>
        <v>202</v>
      </c>
      <c r="C204" s="83" t="s">
        <v>93</v>
      </c>
      <c r="D204" s="303" t="s">
        <v>453</v>
      </c>
      <c r="E204" s="49" t="s">
        <v>7</v>
      </c>
      <c r="F204" s="305" t="s">
        <v>616</v>
      </c>
      <c r="G204" s="307">
        <v>46145</v>
      </c>
      <c r="H204" s="34" t="s">
        <v>6</v>
      </c>
      <c r="I204" s="309">
        <v>254897.11</v>
      </c>
      <c r="J204" s="331" cm="1">
        <f t="array" ref="J204">_xlfn.IFS(D204="INDUSTOWER","40",D204="RELIANCEIN","44",D204="SIEMENSLTD","120",D204="CLEANMAX","40",D204="AVAADA","40",D204="ARCHTECH","40")+G204</f>
        <v>46185</v>
      </c>
      <c r="K204" s="268">
        <f t="shared" ca="1" si="67"/>
        <v>46148</v>
      </c>
      <c r="L204" s="310">
        <f t="shared" si="80"/>
        <v>46205</v>
      </c>
      <c r="M204" s="301" t="s">
        <v>647</v>
      </c>
      <c r="N204" s="312">
        <f t="shared" si="81"/>
        <v>46145</v>
      </c>
      <c r="O204" s="313"/>
      <c r="P204" s="314"/>
      <c r="Q204" s="270" t="s">
        <v>461</v>
      </c>
      <c r="R204" s="315">
        <f t="shared" si="82"/>
        <v>229407.399</v>
      </c>
      <c r="S204" s="92">
        <v>7.6999999999999999E-2</v>
      </c>
      <c r="T204" s="316">
        <f t="shared" ca="1" si="83"/>
        <v>57</v>
      </c>
      <c r="U204" s="318">
        <f t="shared" ca="1" si="84"/>
        <v>2759</v>
      </c>
      <c r="V204" s="318">
        <f t="shared" ca="1" si="85"/>
        <v>226648.399</v>
      </c>
      <c r="W204" s="319"/>
      <c r="X204" s="320"/>
      <c r="Y204" s="321"/>
      <c r="Z204" s="321"/>
      <c r="AA204" s="322"/>
      <c r="AB204" s="323"/>
      <c r="AC204" s="16" t="e" cm="1">
        <f t="array" ref="AC204">_xlfn.IFS(D204="INDUSTOWER","275000000",D204="RELIANCEIN","220000000",D204="SIEMENSLTD","83330000")-I204</f>
        <v>#N/A</v>
      </c>
    </row>
    <row r="205" spans="1:30" x14ac:dyDescent="0.25">
      <c r="A205" s="298">
        <f>SUBTOTAL(3,B$3:B205)</f>
        <v>0</v>
      </c>
      <c r="B205" s="299">
        <f>SUBTOTAL(3,C$3:C205)</f>
        <v>203</v>
      </c>
      <c r="C205" s="83" t="s">
        <v>93</v>
      </c>
      <c r="D205" s="303" t="s">
        <v>27</v>
      </c>
      <c r="E205" s="49" t="s">
        <v>7</v>
      </c>
      <c r="F205" s="305" t="s">
        <v>617</v>
      </c>
      <c r="G205" s="307">
        <v>46145</v>
      </c>
      <c r="H205" s="34" t="s">
        <v>6</v>
      </c>
      <c r="I205" s="309">
        <v>94808.28</v>
      </c>
      <c r="J205" s="331" cm="1">
        <f t="array" ref="J205">_xlfn.IFS(D205="INDUSTOWER","40",D205="RELIANCEIN","44",D205="SIEMENSLTD","120",D205="CLEANMAX","40",D205="AVAADA","40",D205="ARCHTECH","40")+G205</f>
        <v>46185</v>
      </c>
      <c r="K205" s="268">
        <f t="shared" ca="1" si="67"/>
        <v>46148</v>
      </c>
      <c r="L205" s="310">
        <f t="shared" si="80"/>
        <v>46205</v>
      </c>
      <c r="M205" s="301" t="s">
        <v>648</v>
      </c>
      <c r="N205" s="312">
        <f t="shared" si="81"/>
        <v>46145</v>
      </c>
      <c r="O205" s="313"/>
      <c r="P205" s="314"/>
      <c r="Q205" s="270" t="s">
        <v>587</v>
      </c>
      <c r="R205" s="315">
        <f t="shared" si="82"/>
        <v>85327.452000000005</v>
      </c>
      <c r="S205" s="92">
        <v>7.6999999999999999E-2</v>
      </c>
      <c r="T205" s="316">
        <f t="shared" ca="1" si="83"/>
        <v>57</v>
      </c>
      <c r="U205" s="318">
        <f t="shared" ca="1" si="84"/>
        <v>1026</v>
      </c>
      <c r="V205" s="318">
        <f t="shared" ca="1" si="85"/>
        <v>84301.452000000005</v>
      </c>
      <c r="W205" s="319"/>
      <c r="X205" s="320"/>
      <c r="Y205" s="321"/>
      <c r="Z205" s="321"/>
      <c r="AA205" s="322"/>
      <c r="AB205" s="323"/>
      <c r="AC205" s="16" cm="1">
        <f t="array" ref="AC205">_xlfn.IFS(D205="INDUSTOWER","275000000",D205="RELIANCEIN","220000000",D205="SIEMENSLTD","83330000")-I205</f>
        <v>274905191.72000003</v>
      </c>
    </row>
    <row r="206" spans="1:30" x14ac:dyDescent="0.25">
      <c r="A206" s="332">
        <f>SUBTOTAL(3,B$3:B259)</f>
        <v>0</v>
      </c>
      <c r="B206" s="300">
        <f>SUBTOTAL(3,C$3:C259)</f>
        <v>257</v>
      </c>
      <c r="C206" s="83" t="s">
        <v>93</v>
      </c>
      <c r="D206" s="303" t="s">
        <v>27</v>
      </c>
      <c r="E206" s="49" t="s">
        <v>7</v>
      </c>
      <c r="F206" s="305" t="s">
        <v>618</v>
      </c>
      <c r="G206" s="307">
        <v>46145</v>
      </c>
      <c r="H206" s="34" t="s">
        <v>6</v>
      </c>
      <c r="I206" s="309">
        <v>506008.78</v>
      </c>
      <c r="J206" s="331" cm="1">
        <f t="array" ref="J206">_xlfn.IFS(D206="INDUSTOWER","40",D206="RELIANCEIN","44",D206="SIEMENSLTD","120",D206="CLEANMAX","40",D206="AVAADA","40",D206="ARCHTECH","40")+G206</f>
        <v>46185</v>
      </c>
      <c r="K206" s="268">
        <f t="shared" ca="1" si="67"/>
        <v>46148</v>
      </c>
      <c r="L206" s="310">
        <f t="shared" si="80"/>
        <v>46205</v>
      </c>
      <c r="M206" s="301" t="s">
        <v>649</v>
      </c>
      <c r="N206" s="312">
        <f t="shared" si="81"/>
        <v>46145</v>
      </c>
      <c r="O206" s="311"/>
      <c r="P206" s="325"/>
      <c r="Q206" s="270" t="s">
        <v>29</v>
      </c>
      <c r="R206" s="315">
        <f t="shared" si="82"/>
        <v>455407.90200000006</v>
      </c>
      <c r="S206" s="92">
        <v>7.6999999999999999E-2</v>
      </c>
      <c r="T206" s="316">
        <f t="shared" ca="1" si="83"/>
        <v>57</v>
      </c>
      <c r="U206" s="318">
        <f t="shared" ca="1" si="84"/>
        <v>5476</v>
      </c>
      <c r="V206" s="318">
        <f t="shared" ca="1" si="85"/>
        <v>449931.90200000006</v>
      </c>
      <c r="W206" s="326"/>
      <c r="X206" s="300"/>
      <c r="Y206" s="327"/>
      <c r="Z206" s="327"/>
      <c r="AA206" s="328"/>
      <c r="AB206" s="329"/>
      <c r="AC206" s="16" cm="1">
        <f t="array" ref="AC206">_xlfn.IFS(D206="INDUSTOWER","275000000",D206="RELIANCEIN","220000000",D206="SIEMENSLTD","83330000")-I206</f>
        <v>274493991.22000003</v>
      </c>
    </row>
    <row r="207" spans="1:30" x14ac:dyDescent="0.25">
      <c r="A207" s="298">
        <f>SUBTOTAL(3,B$3:B207)</f>
        <v>0</v>
      </c>
      <c r="B207" s="299">
        <f>SUBTOTAL(3,C$3:C207)</f>
        <v>205</v>
      </c>
      <c r="C207" s="83" t="s">
        <v>93</v>
      </c>
      <c r="D207" s="303" t="s">
        <v>27</v>
      </c>
      <c r="E207" s="49" t="s">
        <v>7</v>
      </c>
      <c r="F207" s="304" t="s">
        <v>650</v>
      </c>
      <c r="G207" s="306">
        <v>46146</v>
      </c>
      <c r="H207" s="34" t="s">
        <v>6</v>
      </c>
      <c r="I207" s="308">
        <v>94808.28</v>
      </c>
      <c r="J207" s="330" cm="1">
        <f t="array" ref="J207">_xlfn.IFS(D207="INDUSTOWER","40",D207="RELIANCEIN","44",D207="SIEMENSLTD","120",D207="CLEANMAX","40",D207="AVAADA","40",D207="ARCHTECH","40")+G207</f>
        <v>46186</v>
      </c>
      <c r="K207" s="268">
        <f t="shared" ca="1" si="67"/>
        <v>46148</v>
      </c>
      <c r="L207" s="310">
        <f t="shared" ref="L207:L235" si="86">+J207+20</f>
        <v>46206</v>
      </c>
      <c r="M207" s="300" t="s">
        <v>679</v>
      </c>
      <c r="N207" s="311">
        <f t="shared" ref="N207:N235" si="87">+G207</f>
        <v>46146</v>
      </c>
      <c r="O207" s="313"/>
      <c r="P207" s="314"/>
      <c r="Q207" s="270" t="s">
        <v>587</v>
      </c>
      <c r="R207" s="315">
        <f t="shared" ref="R207:R235" si="88">+I207*0.9</f>
        <v>85327.452000000005</v>
      </c>
      <c r="S207" s="92">
        <v>7.6999999999999999E-2</v>
      </c>
      <c r="T207" s="316">
        <f t="shared" ref="T207:T235" ca="1" si="89">+J207-K207+20</f>
        <v>58</v>
      </c>
      <c r="U207" s="317">
        <f t="shared" ref="U207:U235" ca="1" si="90">ROUND(+R207*S207*T207/365,0)</f>
        <v>1044</v>
      </c>
      <c r="V207" s="318">
        <f t="shared" ref="V207:V235" ca="1" si="91">+R207-U207</f>
        <v>84283.452000000005</v>
      </c>
      <c r="W207" s="319"/>
      <c r="X207" s="320"/>
      <c r="Y207" s="321"/>
      <c r="Z207" s="321"/>
      <c r="AA207" s="322"/>
      <c r="AB207" s="323"/>
      <c r="AC207" s="16" cm="1">
        <f t="array" ref="AC207">_xlfn.IFS(D207="INDUSTOWER","275000000",D207="RELIANCEIN","220000000",D207="SIEMENSLTD","83330000")-I207</f>
        <v>274905191.72000003</v>
      </c>
    </row>
    <row r="208" spans="1:30" x14ac:dyDescent="0.25">
      <c r="A208" s="298">
        <f>SUBTOTAL(3,B$3:B208)</f>
        <v>0</v>
      </c>
      <c r="B208" s="299">
        <f>SUBTOTAL(3,C$3:C208)</f>
        <v>206</v>
      </c>
      <c r="C208" s="83" t="s">
        <v>93</v>
      </c>
      <c r="D208" s="303" t="s">
        <v>27</v>
      </c>
      <c r="E208" s="49" t="s">
        <v>7</v>
      </c>
      <c r="F208" s="305" t="s">
        <v>651</v>
      </c>
      <c r="G208" s="307">
        <v>46146</v>
      </c>
      <c r="H208" s="34" t="s">
        <v>6</v>
      </c>
      <c r="I208" s="309">
        <v>506008.78</v>
      </c>
      <c r="J208" s="331" cm="1">
        <f t="array" ref="J208">_xlfn.IFS(D208="INDUSTOWER","40",D208="RELIANCEIN","44",D208="SIEMENSLTD","120",D208="CLEANMAX","40",D208="AVAADA","40",D208="ARCHTECH","40")+G208</f>
        <v>46186</v>
      </c>
      <c r="K208" s="268">
        <f t="shared" ca="1" si="67"/>
        <v>46148</v>
      </c>
      <c r="L208" s="310">
        <f t="shared" si="86"/>
        <v>46206</v>
      </c>
      <c r="M208" s="301" t="s">
        <v>680</v>
      </c>
      <c r="N208" s="312">
        <f t="shared" si="87"/>
        <v>46146</v>
      </c>
      <c r="O208" s="313"/>
      <c r="P208" s="314"/>
      <c r="Q208" s="270" t="s">
        <v>29</v>
      </c>
      <c r="R208" s="315">
        <f t="shared" si="88"/>
        <v>455407.90200000006</v>
      </c>
      <c r="S208" s="92">
        <v>7.6999999999999999E-2</v>
      </c>
      <c r="T208" s="316">
        <f t="shared" ca="1" si="89"/>
        <v>58</v>
      </c>
      <c r="U208" s="318">
        <f t="shared" ca="1" si="90"/>
        <v>5572</v>
      </c>
      <c r="V208" s="318">
        <f t="shared" ca="1" si="91"/>
        <v>449835.90200000006</v>
      </c>
      <c r="W208" s="319"/>
      <c r="X208" s="320"/>
      <c r="Y208" s="321"/>
      <c r="Z208" s="321"/>
      <c r="AA208" s="322"/>
      <c r="AB208" s="323"/>
      <c r="AC208" s="16" cm="1">
        <f t="array" ref="AC208">_xlfn.IFS(D208="INDUSTOWER","275000000",D208="RELIANCEIN","220000000",D208="SIEMENSLTD","83330000")-I208</f>
        <v>274493991.22000003</v>
      </c>
    </row>
    <row r="209" spans="1:29" x14ac:dyDescent="0.25">
      <c r="A209" s="298">
        <f>SUBTOTAL(3,B$3:B209)</f>
        <v>0</v>
      </c>
      <c r="B209" s="299">
        <f>SUBTOTAL(3,C$3:C209)</f>
        <v>207</v>
      </c>
      <c r="C209" s="83" t="s">
        <v>93</v>
      </c>
      <c r="D209" s="303" t="s">
        <v>27</v>
      </c>
      <c r="E209" s="49" t="s">
        <v>7</v>
      </c>
      <c r="F209" s="305" t="s">
        <v>652</v>
      </c>
      <c r="G209" s="307">
        <v>46146</v>
      </c>
      <c r="H209" s="34" t="s">
        <v>6</v>
      </c>
      <c r="I209" s="309">
        <v>506008.78</v>
      </c>
      <c r="J209" s="331" cm="1">
        <f t="array" ref="J209">_xlfn.IFS(D209="INDUSTOWER","40",D209="RELIANCEIN","44",D209="SIEMENSLTD","120",D209="CLEANMAX","40",D209="AVAADA","40",D209="ARCHTECH","40")+G209</f>
        <v>46186</v>
      </c>
      <c r="K209" s="268">
        <f t="shared" ca="1" si="67"/>
        <v>46148</v>
      </c>
      <c r="L209" s="310">
        <f t="shared" si="86"/>
        <v>46206</v>
      </c>
      <c r="M209" s="301" t="s">
        <v>681</v>
      </c>
      <c r="N209" s="312">
        <f t="shared" si="87"/>
        <v>46146</v>
      </c>
      <c r="O209" s="313"/>
      <c r="P209" s="314"/>
      <c r="Q209" s="270" t="s">
        <v>29</v>
      </c>
      <c r="R209" s="315">
        <f t="shared" si="88"/>
        <v>455407.90200000006</v>
      </c>
      <c r="S209" s="92">
        <v>7.6999999999999999E-2</v>
      </c>
      <c r="T209" s="316">
        <f t="shared" ca="1" si="89"/>
        <v>58</v>
      </c>
      <c r="U209" s="318">
        <f t="shared" ca="1" si="90"/>
        <v>5572</v>
      </c>
      <c r="V209" s="318">
        <f t="shared" ca="1" si="91"/>
        <v>449835.90200000006</v>
      </c>
      <c r="W209" s="319"/>
      <c r="X209" s="320"/>
      <c r="Y209" s="321"/>
      <c r="Z209" s="321"/>
      <c r="AA209" s="322"/>
      <c r="AB209" s="323"/>
      <c r="AC209" s="16" cm="1">
        <f t="array" ref="AC209">_xlfn.IFS(D209="INDUSTOWER","275000000",D209="RELIANCEIN","220000000",D209="SIEMENSLTD","83330000")-I209</f>
        <v>274493991.22000003</v>
      </c>
    </row>
    <row r="210" spans="1:29" x14ac:dyDescent="0.25">
      <c r="A210" s="298">
        <f>SUBTOTAL(3,B$3:B210)</f>
        <v>0</v>
      </c>
      <c r="B210" s="299">
        <f>SUBTOTAL(3,C$3:C210)</f>
        <v>208</v>
      </c>
      <c r="C210" s="83" t="s">
        <v>93</v>
      </c>
      <c r="D210" s="303" t="s">
        <v>27</v>
      </c>
      <c r="E210" s="49" t="s">
        <v>7</v>
      </c>
      <c r="F210" s="305" t="s">
        <v>653</v>
      </c>
      <c r="G210" s="307">
        <v>46146</v>
      </c>
      <c r="H210" s="34" t="s">
        <v>6</v>
      </c>
      <c r="I210" s="309">
        <v>94808.28</v>
      </c>
      <c r="J210" s="331" cm="1">
        <f t="array" ref="J210">_xlfn.IFS(D210="INDUSTOWER","40",D210="RELIANCEIN","44",D210="SIEMENSLTD","120",D210="CLEANMAX","40",D210="AVAADA","40",D210="ARCHTECH","40")+G210</f>
        <v>46186</v>
      </c>
      <c r="K210" s="268">
        <f t="shared" ca="1" si="67"/>
        <v>46148</v>
      </c>
      <c r="L210" s="310">
        <f t="shared" si="86"/>
        <v>46206</v>
      </c>
      <c r="M210" s="301" t="s">
        <v>682</v>
      </c>
      <c r="N210" s="312">
        <f t="shared" si="87"/>
        <v>46146</v>
      </c>
      <c r="O210" s="313"/>
      <c r="P210" s="314"/>
      <c r="Q210" s="270" t="s">
        <v>587</v>
      </c>
      <c r="R210" s="315">
        <f t="shared" si="88"/>
        <v>85327.452000000005</v>
      </c>
      <c r="S210" s="92">
        <v>7.6999999999999999E-2</v>
      </c>
      <c r="T210" s="316">
        <f t="shared" ca="1" si="89"/>
        <v>58</v>
      </c>
      <c r="U210" s="318">
        <f t="shared" ca="1" si="90"/>
        <v>1044</v>
      </c>
      <c r="V210" s="318">
        <f t="shared" ca="1" si="91"/>
        <v>84283.452000000005</v>
      </c>
      <c r="W210" s="319"/>
      <c r="X210" s="320"/>
      <c r="Y210" s="321"/>
      <c r="Z210" s="321"/>
      <c r="AA210" s="322"/>
      <c r="AB210" s="323"/>
      <c r="AC210" s="16" cm="1">
        <f t="array" ref="AC210">_xlfn.IFS(D210="INDUSTOWER","275000000",D210="RELIANCEIN","220000000",D210="SIEMENSLTD","83330000")-I210</f>
        <v>274905191.72000003</v>
      </c>
    </row>
    <row r="211" spans="1:29" x14ac:dyDescent="0.25">
      <c r="A211" s="298">
        <f>SUBTOTAL(3,B$3:B211)</f>
        <v>0</v>
      </c>
      <c r="B211" s="299">
        <f>SUBTOTAL(3,C$3:C211)</f>
        <v>209</v>
      </c>
      <c r="C211" s="83" t="s">
        <v>93</v>
      </c>
      <c r="D211" s="303" t="s">
        <v>27</v>
      </c>
      <c r="E211" s="49" t="s">
        <v>7</v>
      </c>
      <c r="F211" s="305" t="s">
        <v>654</v>
      </c>
      <c r="G211" s="307">
        <v>46146</v>
      </c>
      <c r="H211" s="34" t="s">
        <v>6</v>
      </c>
      <c r="I211" s="309">
        <v>506008.78</v>
      </c>
      <c r="J211" s="331" cm="1">
        <f t="array" ref="J211">_xlfn.IFS(D211="INDUSTOWER","40",D211="RELIANCEIN","44",D211="SIEMENSLTD","120",D211="CLEANMAX","40",D211="AVAADA","40",D211="ARCHTECH","40")+G211</f>
        <v>46186</v>
      </c>
      <c r="K211" s="268">
        <f t="shared" ca="1" si="67"/>
        <v>46148</v>
      </c>
      <c r="L211" s="310">
        <f t="shared" si="86"/>
        <v>46206</v>
      </c>
      <c r="M211" s="301" t="s">
        <v>683</v>
      </c>
      <c r="N211" s="312">
        <f t="shared" si="87"/>
        <v>46146</v>
      </c>
      <c r="O211" s="313"/>
      <c r="P211" s="314"/>
      <c r="Q211" s="270" t="s">
        <v>29</v>
      </c>
      <c r="R211" s="315">
        <f t="shared" si="88"/>
        <v>455407.90200000006</v>
      </c>
      <c r="S211" s="92">
        <v>7.6999999999999999E-2</v>
      </c>
      <c r="T211" s="316">
        <f t="shared" ca="1" si="89"/>
        <v>58</v>
      </c>
      <c r="U211" s="318">
        <f t="shared" ca="1" si="90"/>
        <v>5572</v>
      </c>
      <c r="V211" s="318">
        <f t="shared" ca="1" si="91"/>
        <v>449835.90200000006</v>
      </c>
      <c r="W211" s="319"/>
      <c r="X211" s="320"/>
      <c r="Y211" s="321"/>
      <c r="Z211" s="321"/>
      <c r="AA211" s="322"/>
      <c r="AB211" s="323"/>
      <c r="AC211" s="16" cm="1">
        <f t="array" ref="AC211">_xlfn.IFS(D211="INDUSTOWER","275000000",D211="RELIANCEIN","220000000",D211="SIEMENSLTD","83330000")-I211</f>
        <v>274493991.22000003</v>
      </c>
    </row>
    <row r="212" spans="1:29" x14ac:dyDescent="0.25">
      <c r="A212" s="298">
        <f>SUBTOTAL(3,B$3:B212)</f>
        <v>0</v>
      </c>
      <c r="B212" s="299">
        <f>SUBTOTAL(3,C$3:C212)</f>
        <v>210</v>
      </c>
      <c r="C212" s="83" t="s">
        <v>93</v>
      </c>
      <c r="D212" s="303" t="s">
        <v>27</v>
      </c>
      <c r="E212" s="49" t="s">
        <v>7</v>
      </c>
      <c r="F212" s="305" t="s">
        <v>655</v>
      </c>
      <c r="G212" s="307">
        <v>46146</v>
      </c>
      <c r="H212" s="34" t="s">
        <v>6</v>
      </c>
      <c r="I212" s="309">
        <v>94808.28</v>
      </c>
      <c r="J212" s="331" cm="1">
        <f t="array" ref="J212">_xlfn.IFS(D212="INDUSTOWER","40",D212="RELIANCEIN","44",D212="SIEMENSLTD","120",D212="CLEANMAX","40",D212="AVAADA","40",D212="ARCHTECH","40")+G212</f>
        <v>46186</v>
      </c>
      <c r="K212" s="268">
        <f t="shared" ca="1" si="67"/>
        <v>46148</v>
      </c>
      <c r="L212" s="310">
        <f t="shared" si="86"/>
        <v>46206</v>
      </c>
      <c r="M212" s="301" t="s">
        <v>684</v>
      </c>
      <c r="N212" s="312">
        <f t="shared" si="87"/>
        <v>46146</v>
      </c>
      <c r="O212" s="313"/>
      <c r="P212" s="314"/>
      <c r="Q212" s="270" t="s">
        <v>587</v>
      </c>
      <c r="R212" s="315">
        <f t="shared" si="88"/>
        <v>85327.452000000005</v>
      </c>
      <c r="S212" s="92">
        <v>7.6999999999999999E-2</v>
      </c>
      <c r="T212" s="316">
        <f t="shared" ca="1" si="89"/>
        <v>58</v>
      </c>
      <c r="U212" s="318">
        <f t="shared" ca="1" si="90"/>
        <v>1044</v>
      </c>
      <c r="V212" s="318">
        <f t="shared" ca="1" si="91"/>
        <v>84283.452000000005</v>
      </c>
      <c r="W212" s="319"/>
      <c r="X212" s="320"/>
      <c r="Y212" s="321"/>
      <c r="Z212" s="321"/>
      <c r="AA212" s="322"/>
      <c r="AB212" s="323"/>
      <c r="AC212" s="16" cm="1">
        <f t="array" ref="AC212">_xlfn.IFS(D212="INDUSTOWER","275000000",D212="RELIANCEIN","220000000",D212="SIEMENSLTD","83330000")-I212</f>
        <v>274905191.72000003</v>
      </c>
    </row>
    <row r="213" spans="1:29" x14ac:dyDescent="0.25">
      <c r="A213" s="298">
        <f>SUBTOTAL(3,B$3:B213)</f>
        <v>0</v>
      </c>
      <c r="B213" s="299">
        <f>SUBTOTAL(3,C$3:C213)</f>
        <v>211</v>
      </c>
      <c r="C213" s="83" t="s">
        <v>93</v>
      </c>
      <c r="D213" s="303" t="s">
        <v>27</v>
      </c>
      <c r="E213" s="49" t="s">
        <v>7</v>
      </c>
      <c r="F213" s="305" t="s">
        <v>656</v>
      </c>
      <c r="G213" s="307">
        <v>46146</v>
      </c>
      <c r="H213" s="34" t="s">
        <v>6</v>
      </c>
      <c r="I213" s="309">
        <v>94808.28</v>
      </c>
      <c r="J213" s="331" cm="1">
        <f t="array" ref="J213">_xlfn.IFS(D213="INDUSTOWER","40",D213="RELIANCEIN","44",D213="SIEMENSLTD","120",D213="CLEANMAX","40",D213="AVAADA","40",D213="ARCHTECH","40")+G213</f>
        <v>46186</v>
      </c>
      <c r="K213" s="268">
        <f t="shared" ca="1" si="67"/>
        <v>46148</v>
      </c>
      <c r="L213" s="310">
        <f t="shared" si="86"/>
        <v>46206</v>
      </c>
      <c r="M213" s="301" t="s">
        <v>685</v>
      </c>
      <c r="N213" s="312">
        <f t="shared" si="87"/>
        <v>46146</v>
      </c>
      <c r="O213" s="313"/>
      <c r="P213" s="314"/>
      <c r="Q213" s="270" t="s">
        <v>587</v>
      </c>
      <c r="R213" s="315">
        <f t="shared" si="88"/>
        <v>85327.452000000005</v>
      </c>
      <c r="S213" s="92">
        <v>7.6999999999999999E-2</v>
      </c>
      <c r="T213" s="316">
        <f t="shared" ca="1" si="89"/>
        <v>58</v>
      </c>
      <c r="U213" s="318">
        <f t="shared" ca="1" si="90"/>
        <v>1044</v>
      </c>
      <c r="V213" s="318">
        <f t="shared" ca="1" si="91"/>
        <v>84283.452000000005</v>
      </c>
      <c r="W213" s="319"/>
      <c r="X213" s="320"/>
      <c r="Y213" s="321"/>
      <c r="Z213" s="321"/>
      <c r="AA213" s="322"/>
      <c r="AB213" s="323"/>
      <c r="AC213" s="16" cm="1">
        <f t="array" ref="AC213">_xlfn.IFS(D213="INDUSTOWER","275000000",D213="RELIANCEIN","220000000",D213="SIEMENSLTD","83330000")-I213</f>
        <v>274905191.72000003</v>
      </c>
    </row>
    <row r="214" spans="1:29" x14ac:dyDescent="0.25">
      <c r="A214" s="298">
        <f>SUBTOTAL(3,B$3:B214)</f>
        <v>0</v>
      </c>
      <c r="B214" s="299">
        <f>SUBTOTAL(3,C$3:C214)</f>
        <v>212</v>
      </c>
      <c r="C214" s="83" t="s">
        <v>93</v>
      </c>
      <c r="D214" s="303" t="s">
        <v>27</v>
      </c>
      <c r="E214" s="49" t="s">
        <v>7</v>
      </c>
      <c r="F214" s="305" t="s">
        <v>657</v>
      </c>
      <c r="G214" s="307">
        <v>46146</v>
      </c>
      <c r="H214" s="34" t="s">
        <v>6</v>
      </c>
      <c r="I214" s="309">
        <v>506008.78</v>
      </c>
      <c r="J214" s="331" cm="1">
        <f t="array" ref="J214">_xlfn.IFS(D214="INDUSTOWER","40",D214="RELIANCEIN","44",D214="SIEMENSLTD","120",D214="CLEANMAX","40",D214="AVAADA","40",D214="ARCHTECH","40")+G214</f>
        <v>46186</v>
      </c>
      <c r="K214" s="268">
        <f t="shared" ca="1" si="67"/>
        <v>46148</v>
      </c>
      <c r="L214" s="310">
        <f t="shared" si="86"/>
        <v>46206</v>
      </c>
      <c r="M214" s="301" t="s">
        <v>686</v>
      </c>
      <c r="N214" s="312">
        <f t="shared" si="87"/>
        <v>46146</v>
      </c>
      <c r="O214" s="313"/>
      <c r="P214" s="314"/>
      <c r="Q214" s="270" t="s">
        <v>29</v>
      </c>
      <c r="R214" s="315">
        <f t="shared" si="88"/>
        <v>455407.90200000006</v>
      </c>
      <c r="S214" s="92">
        <v>7.6999999999999999E-2</v>
      </c>
      <c r="T214" s="316">
        <f t="shared" ca="1" si="89"/>
        <v>58</v>
      </c>
      <c r="U214" s="318">
        <f t="shared" ca="1" si="90"/>
        <v>5572</v>
      </c>
      <c r="V214" s="318">
        <f t="shared" ca="1" si="91"/>
        <v>449835.90200000006</v>
      </c>
      <c r="W214" s="319"/>
      <c r="X214" s="320"/>
      <c r="Y214" s="321"/>
      <c r="Z214" s="321"/>
      <c r="AA214" s="322"/>
      <c r="AB214" s="323"/>
      <c r="AC214" s="16" cm="1">
        <f t="array" ref="AC214">_xlfn.IFS(D214="INDUSTOWER","275000000",D214="RELIANCEIN","220000000",D214="SIEMENSLTD","83330000")-I214</f>
        <v>274493991.22000003</v>
      </c>
    </row>
    <row r="215" spans="1:29" x14ac:dyDescent="0.25">
      <c r="A215" s="298">
        <f>SUBTOTAL(3,B$3:B215)</f>
        <v>0</v>
      </c>
      <c r="B215" s="299">
        <f>SUBTOTAL(3,C$3:C215)</f>
        <v>213</v>
      </c>
      <c r="C215" s="83" t="s">
        <v>93</v>
      </c>
      <c r="D215" s="303" t="s">
        <v>27</v>
      </c>
      <c r="E215" s="49" t="s">
        <v>7</v>
      </c>
      <c r="F215" s="305" t="s">
        <v>658</v>
      </c>
      <c r="G215" s="307">
        <v>46146</v>
      </c>
      <c r="H215" s="34" t="s">
        <v>6</v>
      </c>
      <c r="I215" s="309">
        <v>506008.78</v>
      </c>
      <c r="J215" s="331" cm="1">
        <f t="array" ref="J215">_xlfn.IFS(D215="INDUSTOWER","40",D215="RELIANCEIN","44",D215="SIEMENSLTD","120",D215="CLEANMAX","40",D215="AVAADA","40",D215="ARCHTECH","40")+G215</f>
        <v>46186</v>
      </c>
      <c r="K215" s="268">
        <f t="shared" ca="1" si="67"/>
        <v>46148</v>
      </c>
      <c r="L215" s="310">
        <f t="shared" si="86"/>
        <v>46206</v>
      </c>
      <c r="M215" s="301" t="s">
        <v>687</v>
      </c>
      <c r="N215" s="312">
        <f t="shared" si="87"/>
        <v>46146</v>
      </c>
      <c r="O215" s="313"/>
      <c r="P215" s="314"/>
      <c r="Q215" s="270" t="s">
        <v>29</v>
      </c>
      <c r="R215" s="315">
        <f t="shared" si="88"/>
        <v>455407.90200000006</v>
      </c>
      <c r="S215" s="92">
        <v>7.6999999999999999E-2</v>
      </c>
      <c r="T215" s="316">
        <f t="shared" ca="1" si="89"/>
        <v>58</v>
      </c>
      <c r="U215" s="318">
        <f t="shared" ca="1" si="90"/>
        <v>5572</v>
      </c>
      <c r="V215" s="318">
        <f t="shared" ca="1" si="91"/>
        <v>449835.90200000006</v>
      </c>
      <c r="W215" s="319"/>
      <c r="X215" s="320"/>
      <c r="Y215" s="321"/>
      <c r="Z215" s="321"/>
      <c r="AA215" s="322"/>
      <c r="AB215" s="323"/>
      <c r="AC215" s="16" cm="1">
        <f t="array" ref="AC215">_xlfn.IFS(D215="INDUSTOWER","275000000",D215="RELIANCEIN","220000000",D215="SIEMENSLTD","83330000")-I215</f>
        <v>274493991.22000003</v>
      </c>
    </row>
    <row r="216" spans="1:29" x14ac:dyDescent="0.25">
      <c r="A216" s="298">
        <f>SUBTOTAL(3,B$3:B216)</f>
        <v>0</v>
      </c>
      <c r="B216" s="299">
        <f>SUBTOTAL(3,C$3:C216)</f>
        <v>214</v>
      </c>
      <c r="C216" s="83" t="s">
        <v>93</v>
      </c>
      <c r="D216" s="303" t="s">
        <v>27</v>
      </c>
      <c r="E216" s="49" t="s">
        <v>7</v>
      </c>
      <c r="F216" s="305" t="s">
        <v>659</v>
      </c>
      <c r="G216" s="307">
        <v>46146</v>
      </c>
      <c r="H216" s="34" t="s">
        <v>6</v>
      </c>
      <c r="I216" s="309">
        <v>94808.28</v>
      </c>
      <c r="J216" s="331" cm="1">
        <f t="array" ref="J216">_xlfn.IFS(D216="INDUSTOWER","40",D216="RELIANCEIN","44",D216="SIEMENSLTD","120",D216="CLEANMAX","40",D216="AVAADA","40",D216="ARCHTECH","40")+G216</f>
        <v>46186</v>
      </c>
      <c r="K216" s="268">
        <f t="shared" ca="1" si="67"/>
        <v>46148</v>
      </c>
      <c r="L216" s="310">
        <f t="shared" si="86"/>
        <v>46206</v>
      </c>
      <c r="M216" s="301" t="s">
        <v>688</v>
      </c>
      <c r="N216" s="312">
        <f t="shared" si="87"/>
        <v>46146</v>
      </c>
      <c r="O216" s="313"/>
      <c r="P216" s="314"/>
      <c r="Q216" s="270" t="s">
        <v>587</v>
      </c>
      <c r="R216" s="315">
        <f t="shared" si="88"/>
        <v>85327.452000000005</v>
      </c>
      <c r="S216" s="92">
        <v>7.6999999999999999E-2</v>
      </c>
      <c r="T216" s="316">
        <f t="shared" ca="1" si="89"/>
        <v>58</v>
      </c>
      <c r="U216" s="318">
        <f t="shared" ca="1" si="90"/>
        <v>1044</v>
      </c>
      <c r="V216" s="318">
        <f t="shared" ca="1" si="91"/>
        <v>84283.452000000005</v>
      </c>
      <c r="W216" s="319"/>
      <c r="X216" s="320"/>
      <c r="Y216" s="321"/>
      <c r="Z216" s="321"/>
      <c r="AA216" s="322"/>
      <c r="AB216" s="323"/>
      <c r="AC216" s="16" cm="1">
        <f t="array" ref="AC216">_xlfn.IFS(D216="INDUSTOWER","275000000",D216="RELIANCEIN","220000000",D216="SIEMENSLTD","83330000")-I216</f>
        <v>274905191.72000003</v>
      </c>
    </row>
    <row r="217" spans="1:29" x14ac:dyDescent="0.25">
      <c r="A217" s="298">
        <f>SUBTOTAL(3,B$3:B217)</f>
        <v>0</v>
      </c>
      <c r="B217" s="299">
        <f>SUBTOTAL(3,C$3:C217)</f>
        <v>215</v>
      </c>
      <c r="C217" s="83" t="s">
        <v>93</v>
      </c>
      <c r="D217" s="303" t="s">
        <v>27</v>
      </c>
      <c r="E217" s="49" t="s">
        <v>7</v>
      </c>
      <c r="F217" s="305" t="s">
        <v>660</v>
      </c>
      <c r="G217" s="307">
        <v>46146</v>
      </c>
      <c r="H217" s="34" t="s">
        <v>6</v>
      </c>
      <c r="I217" s="309">
        <v>506008.78</v>
      </c>
      <c r="J217" s="331" cm="1">
        <f t="array" ref="J217">_xlfn.IFS(D217="INDUSTOWER","40",D217="RELIANCEIN","44",D217="SIEMENSLTD","120",D217="CLEANMAX","40",D217="AVAADA","40",D217="ARCHTECH","40")+G217</f>
        <v>46186</v>
      </c>
      <c r="K217" s="268">
        <f t="shared" ca="1" si="67"/>
        <v>46148</v>
      </c>
      <c r="L217" s="310">
        <f t="shared" si="86"/>
        <v>46206</v>
      </c>
      <c r="M217" s="301" t="s">
        <v>689</v>
      </c>
      <c r="N217" s="312">
        <f t="shared" si="87"/>
        <v>46146</v>
      </c>
      <c r="O217" s="313"/>
      <c r="P217" s="314"/>
      <c r="Q217" s="270" t="s">
        <v>29</v>
      </c>
      <c r="R217" s="315">
        <f t="shared" si="88"/>
        <v>455407.90200000006</v>
      </c>
      <c r="S217" s="92">
        <v>7.6999999999999999E-2</v>
      </c>
      <c r="T217" s="316">
        <f t="shared" ca="1" si="89"/>
        <v>58</v>
      </c>
      <c r="U217" s="318">
        <f t="shared" ca="1" si="90"/>
        <v>5572</v>
      </c>
      <c r="V217" s="318">
        <f t="shared" ca="1" si="91"/>
        <v>449835.90200000006</v>
      </c>
      <c r="W217" s="319"/>
      <c r="X217" s="320"/>
      <c r="Y217" s="321"/>
      <c r="Z217" s="321"/>
      <c r="AA217" s="322"/>
      <c r="AB217" s="323"/>
      <c r="AC217" s="16" cm="1">
        <f t="array" ref="AC217">_xlfn.IFS(D217="INDUSTOWER","275000000",D217="RELIANCEIN","220000000",D217="SIEMENSLTD","83330000")-I217</f>
        <v>274493991.22000003</v>
      </c>
    </row>
    <row r="218" spans="1:29" x14ac:dyDescent="0.25">
      <c r="A218" s="298">
        <f>SUBTOTAL(3,B$3:B218)</f>
        <v>0</v>
      </c>
      <c r="B218" s="299">
        <f>SUBTOTAL(3,C$3:C218)</f>
        <v>216</v>
      </c>
      <c r="C218" s="83" t="s">
        <v>93</v>
      </c>
      <c r="D218" s="303" t="s">
        <v>27</v>
      </c>
      <c r="E218" s="49" t="s">
        <v>7</v>
      </c>
      <c r="F218" s="305" t="s">
        <v>661</v>
      </c>
      <c r="G218" s="307">
        <v>46146</v>
      </c>
      <c r="H218" s="34" t="s">
        <v>6</v>
      </c>
      <c r="I218" s="309">
        <v>94808.28</v>
      </c>
      <c r="J218" s="331" cm="1">
        <f t="array" ref="J218">_xlfn.IFS(D218="INDUSTOWER","40",D218="RELIANCEIN","44",D218="SIEMENSLTD","120",D218="CLEANMAX","40",D218="AVAADA","40",D218="ARCHTECH","40")+G218</f>
        <v>46186</v>
      </c>
      <c r="K218" s="268">
        <f t="shared" ca="1" si="67"/>
        <v>46148</v>
      </c>
      <c r="L218" s="310">
        <f t="shared" si="86"/>
        <v>46206</v>
      </c>
      <c r="M218" s="301" t="s">
        <v>690</v>
      </c>
      <c r="N218" s="312">
        <f t="shared" si="87"/>
        <v>46146</v>
      </c>
      <c r="O218" s="313"/>
      <c r="P218" s="314"/>
      <c r="Q218" s="270" t="s">
        <v>587</v>
      </c>
      <c r="R218" s="315">
        <f t="shared" si="88"/>
        <v>85327.452000000005</v>
      </c>
      <c r="S218" s="92">
        <v>7.6999999999999999E-2</v>
      </c>
      <c r="T218" s="316">
        <f t="shared" ca="1" si="89"/>
        <v>58</v>
      </c>
      <c r="U218" s="318">
        <f t="shared" ca="1" si="90"/>
        <v>1044</v>
      </c>
      <c r="V218" s="318">
        <f t="shared" ca="1" si="91"/>
        <v>84283.452000000005</v>
      </c>
      <c r="W218" s="319"/>
      <c r="X218" s="320"/>
      <c r="Y218" s="321"/>
      <c r="Z218" s="321"/>
      <c r="AA218" s="322"/>
      <c r="AB218" s="323"/>
      <c r="AC218" s="16" cm="1">
        <f t="array" ref="AC218">_xlfn.IFS(D218="INDUSTOWER","275000000",D218="RELIANCEIN","220000000",D218="SIEMENSLTD","83330000")-I218</f>
        <v>274905191.72000003</v>
      </c>
    </row>
    <row r="219" spans="1:29" x14ac:dyDescent="0.25">
      <c r="A219" s="298">
        <f>SUBTOTAL(3,B$3:B219)</f>
        <v>0</v>
      </c>
      <c r="B219" s="299">
        <f>SUBTOTAL(3,C$3:C219)</f>
        <v>217</v>
      </c>
      <c r="C219" s="83" t="s">
        <v>93</v>
      </c>
      <c r="D219" s="303" t="s">
        <v>27</v>
      </c>
      <c r="E219" s="49" t="s">
        <v>7</v>
      </c>
      <c r="F219" s="305" t="s">
        <v>662</v>
      </c>
      <c r="G219" s="307">
        <v>46146</v>
      </c>
      <c r="H219" s="34" t="s">
        <v>6</v>
      </c>
      <c r="I219" s="309">
        <v>506008.78</v>
      </c>
      <c r="J219" s="331" cm="1">
        <f t="array" ref="J219">_xlfn.IFS(D219="INDUSTOWER","40",D219="RELIANCEIN","44",D219="SIEMENSLTD","120",D219="CLEANMAX","40",D219="AVAADA","40",D219="ARCHTECH","40")+G219</f>
        <v>46186</v>
      </c>
      <c r="K219" s="268">
        <f t="shared" ca="1" si="67"/>
        <v>46148</v>
      </c>
      <c r="L219" s="310">
        <f t="shared" si="86"/>
        <v>46206</v>
      </c>
      <c r="M219" s="301" t="s">
        <v>691</v>
      </c>
      <c r="N219" s="312">
        <f t="shared" si="87"/>
        <v>46146</v>
      </c>
      <c r="O219" s="313"/>
      <c r="P219" s="314"/>
      <c r="Q219" s="270" t="s">
        <v>29</v>
      </c>
      <c r="R219" s="315">
        <f t="shared" si="88"/>
        <v>455407.90200000006</v>
      </c>
      <c r="S219" s="92">
        <v>7.6999999999999999E-2</v>
      </c>
      <c r="T219" s="316">
        <f t="shared" ca="1" si="89"/>
        <v>58</v>
      </c>
      <c r="U219" s="318">
        <f t="shared" ca="1" si="90"/>
        <v>5572</v>
      </c>
      <c r="V219" s="318">
        <f t="shared" ca="1" si="91"/>
        <v>449835.90200000006</v>
      </c>
      <c r="W219" s="319"/>
      <c r="X219" s="320"/>
      <c r="Y219" s="321"/>
      <c r="Z219" s="321"/>
      <c r="AA219" s="322"/>
      <c r="AB219" s="323"/>
      <c r="AC219" s="16" cm="1">
        <f t="array" ref="AC219">_xlfn.IFS(D219="INDUSTOWER","275000000",D219="RELIANCEIN","220000000",D219="SIEMENSLTD","83330000")-I219</f>
        <v>274493991.22000003</v>
      </c>
    </row>
    <row r="220" spans="1:29" x14ac:dyDescent="0.25">
      <c r="A220" s="298">
        <f>SUBTOTAL(3,B$3:B220)</f>
        <v>0</v>
      </c>
      <c r="B220" s="299">
        <f>SUBTOTAL(3,C$3:C220)</f>
        <v>218</v>
      </c>
      <c r="C220" s="83" t="s">
        <v>93</v>
      </c>
      <c r="D220" s="303" t="s">
        <v>27</v>
      </c>
      <c r="E220" s="49" t="s">
        <v>7</v>
      </c>
      <c r="F220" s="305" t="s">
        <v>663</v>
      </c>
      <c r="G220" s="307">
        <v>46146</v>
      </c>
      <c r="H220" s="34" t="s">
        <v>6</v>
      </c>
      <c r="I220" s="309">
        <v>94808.28</v>
      </c>
      <c r="J220" s="331" cm="1">
        <f t="array" ref="J220">_xlfn.IFS(D220="INDUSTOWER","40",D220="RELIANCEIN","44",D220="SIEMENSLTD","120",D220="CLEANMAX","40",D220="AVAADA","40",D220="ARCHTECH","40")+G220</f>
        <v>46186</v>
      </c>
      <c r="K220" s="268">
        <f t="shared" ca="1" si="67"/>
        <v>46148</v>
      </c>
      <c r="L220" s="310">
        <f t="shared" si="86"/>
        <v>46206</v>
      </c>
      <c r="M220" s="301" t="s">
        <v>692</v>
      </c>
      <c r="N220" s="312">
        <f t="shared" si="87"/>
        <v>46146</v>
      </c>
      <c r="O220" s="313"/>
      <c r="P220" s="314"/>
      <c r="Q220" s="270" t="s">
        <v>587</v>
      </c>
      <c r="R220" s="315">
        <f t="shared" si="88"/>
        <v>85327.452000000005</v>
      </c>
      <c r="S220" s="92">
        <v>7.6999999999999999E-2</v>
      </c>
      <c r="T220" s="316">
        <f t="shared" ca="1" si="89"/>
        <v>58</v>
      </c>
      <c r="U220" s="318">
        <f t="shared" ca="1" si="90"/>
        <v>1044</v>
      </c>
      <c r="V220" s="318">
        <f t="shared" ca="1" si="91"/>
        <v>84283.452000000005</v>
      </c>
      <c r="W220" s="319"/>
      <c r="X220" s="320"/>
      <c r="Y220" s="321"/>
      <c r="Z220" s="321"/>
      <c r="AA220" s="322"/>
      <c r="AB220" s="323"/>
      <c r="AC220" s="16" cm="1">
        <f t="array" ref="AC220">_xlfn.IFS(D220="INDUSTOWER","275000000",D220="RELIANCEIN","220000000",D220="SIEMENSLTD","83330000")-I220</f>
        <v>274905191.72000003</v>
      </c>
    </row>
    <row r="221" spans="1:29" x14ac:dyDescent="0.25">
      <c r="A221" s="298">
        <f>SUBTOTAL(3,B$3:B221)</f>
        <v>0</v>
      </c>
      <c r="B221" s="299">
        <f>SUBTOTAL(3,C$3:C221)</f>
        <v>219</v>
      </c>
      <c r="C221" s="83" t="s">
        <v>93</v>
      </c>
      <c r="D221" s="303" t="s">
        <v>27</v>
      </c>
      <c r="E221" s="49" t="s">
        <v>7</v>
      </c>
      <c r="F221" s="305" t="s">
        <v>664</v>
      </c>
      <c r="G221" s="307">
        <v>46146</v>
      </c>
      <c r="H221" s="34" t="s">
        <v>6</v>
      </c>
      <c r="I221" s="309">
        <v>94808.28</v>
      </c>
      <c r="J221" s="331" cm="1">
        <f t="array" ref="J221">_xlfn.IFS(D221="INDUSTOWER","40",D221="RELIANCEIN","44",D221="SIEMENSLTD","120",D221="CLEANMAX","40",D221="AVAADA","40",D221="ARCHTECH","40")+G221</f>
        <v>46186</v>
      </c>
      <c r="K221" s="268">
        <f t="shared" ca="1" si="67"/>
        <v>46148</v>
      </c>
      <c r="L221" s="310">
        <f t="shared" si="86"/>
        <v>46206</v>
      </c>
      <c r="M221" s="301" t="s">
        <v>693</v>
      </c>
      <c r="N221" s="312">
        <f t="shared" si="87"/>
        <v>46146</v>
      </c>
      <c r="O221" s="313"/>
      <c r="P221" s="314"/>
      <c r="Q221" s="270" t="s">
        <v>587</v>
      </c>
      <c r="R221" s="315">
        <f t="shared" si="88"/>
        <v>85327.452000000005</v>
      </c>
      <c r="S221" s="92">
        <v>7.6999999999999999E-2</v>
      </c>
      <c r="T221" s="316">
        <f t="shared" ca="1" si="89"/>
        <v>58</v>
      </c>
      <c r="U221" s="318">
        <f t="shared" ca="1" si="90"/>
        <v>1044</v>
      </c>
      <c r="V221" s="318">
        <f t="shared" ca="1" si="91"/>
        <v>84283.452000000005</v>
      </c>
      <c r="W221" s="319"/>
      <c r="X221" s="320"/>
      <c r="Y221" s="321"/>
      <c r="Z221" s="321"/>
      <c r="AA221" s="322"/>
      <c r="AB221" s="323"/>
      <c r="AC221" s="16" cm="1">
        <f t="array" ref="AC221">_xlfn.IFS(D221="INDUSTOWER","275000000",D221="RELIANCEIN","220000000",D221="SIEMENSLTD","83330000")-I221</f>
        <v>274905191.72000003</v>
      </c>
    </row>
    <row r="222" spans="1:29" x14ac:dyDescent="0.25">
      <c r="A222" s="298">
        <f>SUBTOTAL(3,B$3:B222)</f>
        <v>0</v>
      </c>
      <c r="B222" s="299">
        <f>SUBTOTAL(3,C$3:C222)</f>
        <v>220</v>
      </c>
      <c r="C222" s="83" t="s">
        <v>93</v>
      </c>
      <c r="D222" s="303" t="s">
        <v>27</v>
      </c>
      <c r="E222" s="49" t="s">
        <v>7</v>
      </c>
      <c r="F222" s="305" t="s">
        <v>665</v>
      </c>
      <c r="G222" s="307">
        <v>46146</v>
      </c>
      <c r="H222" s="34" t="s">
        <v>6</v>
      </c>
      <c r="I222" s="309">
        <v>506008.78</v>
      </c>
      <c r="J222" s="331" cm="1">
        <f t="array" ref="J222">_xlfn.IFS(D222="INDUSTOWER","40",D222="RELIANCEIN","44",D222="SIEMENSLTD","120",D222="CLEANMAX","40",D222="AVAADA","40",D222="ARCHTECH","40")+G222</f>
        <v>46186</v>
      </c>
      <c r="K222" s="268">
        <f t="shared" ca="1" si="67"/>
        <v>46148</v>
      </c>
      <c r="L222" s="310">
        <f t="shared" si="86"/>
        <v>46206</v>
      </c>
      <c r="M222" s="301" t="s">
        <v>694</v>
      </c>
      <c r="N222" s="312">
        <f t="shared" si="87"/>
        <v>46146</v>
      </c>
      <c r="O222" s="313"/>
      <c r="P222" s="314"/>
      <c r="Q222" s="270" t="s">
        <v>29</v>
      </c>
      <c r="R222" s="315">
        <f t="shared" si="88"/>
        <v>455407.90200000006</v>
      </c>
      <c r="S222" s="92">
        <v>7.6999999999999999E-2</v>
      </c>
      <c r="T222" s="316">
        <f t="shared" ca="1" si="89"/>
        <v>58</v>
      </c>
      <c r="U222" s="318">
        <f t="shared" ca="1" si="90"/>
        <v>5572</v>
      </c>
      <c r="V222" s="318">
        <f t="shared" ca="1" si="91"/>
        <v>449835.90200000006</v>
      </c>
      <c r="W222" s="319"/>
      <c r="X222" s="320"/>
      <c r="Y222" s="321"/>
      <c r="Z222" s="321"/>
      <c r="AA222" s="322"/>
      <c r="AB222" s="323"/>
      <c r="AC222" s="16" cm="1">
        <f t="array" ref="AC222">_xlfn.IFS(D222="INDUSTOWER","275000000",D222="RELIANCEIN","220000000",D222="SIEMENSLTD","83330000")-I222</f>
        <v>274493991.22000003</v>
      </c>
    </row>
    <row r="223" spans="1:29" x14ac:dyDescent="0.25">
      <c r="A223" s="298">
        <f>SUBTOTAL(3,B$3:B223)</f>
        <v>0</v>
      </c>
      <c r="B223" s="299">
        <f>SUBTOTAL(3,C$3:C223)</f>
        <v>221</v>
      </c>
      <c r="C223" s="83" t="s">
        <v>93</v>
      </c>
      <c r="D223" s="303" t="s">
        <v>27</v>
      </c>
      <c r="E223" s="49" t="s">
        <v>7</v>
      </c>
      <c r="F223" s="305" t="s">
        <v>666</v>
      </c>
      <c r="G223" s="307">
        <v>46146</v>
      </c>
      <c r="H223" s="34" t="s">
        <v>6</v>
      </c>
      <c r="I223" s="309">
        <v>94808.28</v>
      </c>
      <c r="J223" s="331" cm="1">
        <f t="array" ref="J223">_xlfn.IFS(D223="INDUSTOWER","40",D223="RELIANCEIN","44",D223="SIEMENSLTD","120",D223="CLEANMAX","40",D223="AVAADA","40",D223="ARCHTECH","40")+G223</f>
        <v>46186</v>
      </c>
      <c r="K223" s="268">
        <f t="shared" ca="1" si="67"/>
        <v>46148</v>
      </c>
      <c r="L223" s="310">
        <f t="shared" si="86"/>
        <v>46206</v>
      </c>
      <c r="M223" s="301" t="s">
        <v>695</v>
      </c>
      <c r="N223" s="312">
        <f t="shared" si="87"/>
        <v>46146</v>
      </c>
      <c r="O223" s="313"/>
      <c r="P223" s="314"/>
      <c r="Q223" s="270" t="s">
        <v>587</v>
      </c>
      <c r="R223" s="315">
        <f t="shared" si="88"/>
        <v>85327.452000000005</v>
      </c>
      <c r="S223" s="92">
        <v>7.6999999999999999E-2</v>
      </c>
      <c r="T223" s="316">
        <f t="shared" ca="1" si="89"/>
        <v>58</v>
      </c>
      <c r="U223" s="318">
        <f t="shared" ca="1" si="90"/>
        <v>1044</v>
      </c>
      <c r="V223" s="318">
        <f t="shared" ca="1" si="91"/>
        <v>84283.452000000005</v>
      </c>
      <c r="W223" s="319"/>
      <c r="X223" s="320"/>
      <c r="Y223" s="321"/>
      <c r="Z223" s="321"/>
      <c r="AA223" s="322"/>
      <c r="AB223" s="323"/>
      <c r="AC223" s="16" cm="1">
        <f t="array" ref="AC223">_xlfn.IFS(D223="INDUSTOWER","275000000",D223="RELIANCEIN","220000000",D223="SIEMENSLTD","83330000")-I223</f>
        <v>274905191.72000003</v>
      </c>
    </row>
    <row r="224" spans="1:29" x14ac:dyDescent="0.25">
      <c r="A224" s="298">
        <f>SUBTOTAL(3,B$3:B224)</f>
        <v>0</v>
      </c>
      <c r="B224" s="299">
        <f>SUBTOTAL(3,C$3:C224)</f>
        <v>222</v>
      </c>
      <c r="C224" s="83" t="s">
        <v>93</v>
      </c>
      <c r="D224" s="303" t="s">
        <v>27</v>
      </c>
      <c r="E224" s="49" t="s">
        <v>7</v>
      </c>
      <c r="F224" s="305" t="s">
        <v>667</v>
      </c>
      <c r="G224" s="307">
        <v>46146</v>
      </c>
      <c r="H224" s="34" t="s">
        <v>6</v>
      </c>
      <c r="I224" s="309">
        <v>506008.78</v>
      </c>
      <c r="J224" s="331" cm="1">
        <f t="array" ref="J224">_xlfn.IFS(D224="INDUSTOWER","40",D224="RELIANCEIN","44",D224="SIEMENSLTD","120",D224="CLEANMAX","40",D224="AVAADA","40",D224="ARCHTECH","40")+G224</f>
        <v>46186</v>
      </c>
      <c r="K224" s="268">
        <f t="shared" ca="1" si="67"/>
        <v>46148</v>
      </c>
      <c r="L224" s="310">
        <f t="shared" si="86"/>
        <v>46206</v>
      </c>
      <c r="M224" s="301" t="s">
        <v>696</v>
      </c>
      <c r="N224" s="312">
        <f t="shared" si="87"/>
        <v>46146</v>
      </c>
      <c r="O224" s="313"/>
      <c r="P224" s="314"/>
      <c r="Q224" s="270" t="s">
        <v>29</v>
      </c>
      <c r="R224" s="315">
        <f t="shared" si="88"/>
        <v>455407.90200000006</v>
      </c>
      <c r="S224" s="92">
        <v>7.6999999999999999E-2</v>
      </c>
      <c r="T224" s="316">
        <f t="shared" ca="1" si="89"/>
        <v>58</v>
      </c>
      <c r="U224" s="318">
        <f t="shared" ca="1" si="90"/>
        <v>5572</v>
      </c>
      <c r="V224" s="318">
        <f t="shared" ca="1" si="91"/>
        <v>449835.90200000006</v>
      </c>
      <c r="W224" s="319"/>
      <c r="X224" s="320"/>
      <c r="Y224" s="321"/>
      <c r="Z224" s="321"/>
      <c r="AA224" s="322"/>
      <c r="AB224" s="323"/>
      <c r="AC224" s="16" cm="1">
        <f t="array" ref="AC224">_xlfn.IFS(D224="INDUSTOWER","275000000",D224="RELIANCEIN","220000000",D224="SIEMENSLTD","83330000")-I224</f>
        <v>274493991.22000003</v>
      </c>
    </row>
    <row r="225" spans="1:29" x14ac:dyDescent="0.25">
      <c r="A225" s="298">
        <f>SUBTOTAL(3,B$3:B225)</f>
        <v>0</v>
      </c>
      <c r="B225" s="299">
        <f>SUBTOTAL(3,C$3:C225)</f>
        <v>223</v>
      </c>
      <c r="C225" s="83" t="s">
        <v>93</v>
      </c>
      <c r="D225" s="303" t="s">
        <v>27</v>
      </c>
      <c r="E225" s="49" t="s">
        <v>7</v>
      </c>
      <c r="F225" s="305" t="s">
        <v>668</v>
      </c>
      <c r="G225" s="307">
        <v>46146</v>
      </c>
      <c r="H225" s="34" t="s">
        <v>6</v>
      </c>
      <c r="I225" s="309">
        <v>506008.78</v>
      </c>
      <c r="J225" s="331" cm="1">
        <f t="array" ref="J225">_xlfn.IFS(D225="INDUSTOWER","40",D225="RELIANCEIN","44",D225="SIEMENSLTD","120",D225="CLEANMAX","40",D225="AVAADA","40",D225="ARCHTECH","40")+G225</f>
        <v>46186</v>
      </c>
      <c r="K225" s="268">
        <f t="shared" ca="1" si="67"/>
        <v>46148</v>
      </c>
      <c r="L225" s="310">
        <f t="shared" si="86"/>
        <v>46206</v>
      </c>
      <c r="M225" s="301" t="s">
        <v>697</v>
      </c>
      <c r="N225" s="312">
        <f t="shared" si="87"/>
        <v>46146</v>
      </c>
      <c r="O225" s="313"/>
      <c r="P225" s="314"/>
      <c r="Q225" s="270" t="s">
        <v>29</v>
      </c>
      <c r="R225" s="315">
        <f t="shared" si="88"/>
        <v>455407.90200000006</v>
      </c>
      <c r="S225" s="92">
        <v>7.6999999999999999E-2</v>
      </c>
      <c r="T225" s="316">
        <f t="shared" ca="1" si="89"/>
        <v>58</v>
      </c>
      <c r="U225" s="318">
        <f t="shared" ca="1" si="90"/>
        <v>5572</v>
      </c>
      <c r="V225" s="318">
        <f t="shared" ca="1" si="91"/>
        <v>449835.90200000006</v>
      </c>
      <c r="W225" s="319"/>
      <c r="X225" s="320"/>
      <c r="Y225" s="321"/>
      <c r="Z225" s="321"/>
      <c r="AA225" s="322"/>
      <c r="AB225" s="323"/>
      <c r="AC225" s="16" cm="1">
        <f t="array" ref="AC225">_xlfn.IFS(D225="INDUSTOWER","275000000",D225="RELIANCEIN","220000000",D225="SIEMENSLTD","83330000")-I225</f>
        <v>274493991.22000003</v>
      </c>
    </row>
    <row r="226" spans="1:29" x14ac:dyDescent="0.25">
      <c r="A226" s="298">
        <f>SUBTOTAL(3,B$3:B226)</f>
        <v>0</v>
      </c>
      <c r="B226" s="299">
        <f>SUBTOTAL(3,C$3:C226)</f>
        <v>224</v>
      </c>
      <c r="C226" s="83" t="s">
        <v>93</v>
      </c>
      <c r="D226" s="303" t="s">
        <v>27</v>
      </c>
      <c r="E226" s="49" t="s">
        <v>7</v>
      </c>
      <c r="F226" s="305" t="s">
        <v>669</v>
      </c>
      <c r="G226" s="307">
        <v>46146</v>
      </c>
      <c r="H226" s="34" t="s">
        <v>6</v>
      </c>
      <c r="I226" s="309">
        <v>94808.28</v>
      </c>
      <c r="J226" s="331" cm="1">
        <f t="array" ref="J226">_xlfn.IFS(D226="INDUSTOWER","40",D226="RELIANCEIN","44",D226="SIEMENSLTD","120",D226="CLEANMAX","40",D226="AVAADA","40",D226="ARCHTECH","40")+G226</f>
        <v>46186</v>
      </c>
      <c r="K226" s="268">
        <f t="shared" ca="1" si="67"/>
        <v>46148</v>
      </c>
      <c r="L226" s="310">
        <f t="shared" si="86"/>
        <v>46206</v>
      </c>
      <c r="M226" s="301" t="s">
        <v>698</v>
      </c>
      <c r="N226" s="312">
        <f t="shared" si="87"/>
        <v>46146</v>
      </c>
      <c r="O226" s="313"/>
      <c r="P226" s="314"/>
      <c r="Q226" s="270" t="s">
        <v>587</v>
      </c>
      <c r="R226" s="315">
        <f t="shared" si="88"/>
        <v>85327.452000000005</v>
      </c>
      <c r="S226" s="92">
        <v>7.6999999999999999E-2</v>
      </c>
      <c r="T226" s="316">
        <f t="shared" ca="1" si="89"/>
        <v>58</v>
      </c>
      <c r="U226" s="318">
        <f t="shared" ca="1" si="90"/>
        <v>1044</v>
      </c>
      <c r="V226" s="318">
        <f t="shared" ca="1" si="91"/>
        <v>84283.452000000005</v>
      </c>
      <c r="W226" s="319"/>
      <c r="X226" s="320"/>
      <c r="Y226" s="321"/>
      <c r="Z226" s="321"/>
      <c r="AA226" s="322"/>
      <c r="AB226" s="323"/>
      <c r="AC226" s="16" cm="1">
        <f t="array" ref="AC226">_xlfn.IFS(D226="INDUSTOWER","275000000",D226="RELIANCEIN","220000000",D226="SIEMENSLTD","83330000")-I226</f>
        <v>274905191.72000003</v>
      </c>
    </row>
    <row r="227" spans="1:29" x14ac:dyDescent="0.25">
      <c r="A227" s="298">
        <f>SUBTOTAL(3,B$3:B227)</f>
        <v>0</v>
      </c>
      <c r="B227" s="299">
        <f>SUBTOTAL(3,C$3:C227)</f>
        <v>225</v>
      </c>
      <c r="C227" s="83" t="s">
        <v>93</v>
      </c>
      <c r="D227" s="303" t="s">
        <v>27</v>
      </c>
      <c r="E227" s="49" t="s">
        <v>7</v>
      </c>
      <c r="F227" s="305" t="s">
        <v>670</v>
      </c>
      <c r="G227" s="307">
        <v>46146</v>
      </c>
      <c r="H227" s="34" t="s">
        <v>6</v>
      </c>
      <c r="I227" s="309">
        <v>94808.28</v>
      </c>
      <c r="J227" s="331" cm="1">
        <f t="array" ref="J227">_xlfn.IFS(D227="INDUSTOWER","40",D227="RELIANCEIN","44",D227="SIEMENSLTD","120",D227="CLEANMAX","40",D227="AVAADA","40",D227="ARCHTECH","40")+G227</f>
        <v>46186</v>
      </c>
      <c r="K227" s="268">
        <f t="shared" ca="1" si="67"/>
        <v>46148</v>
      </c>
      <c r="L227" s="310">
        <f t="shared" si="86"/>
        <v>46206</v>
      </c>
      <c r="M227" s="301" t="s">
        <v>699</v>
      </c>
      <c r="N227" s="312">
        <f t="shared" si="87"/>
        <v>46146</v>
      </c>
      <c r="O227" s="313"/>
      <c r="P227" s="314"/>
      <c r="Q227" s="270" t="s">
        <v>587</v>
      </c>
      <c r="R227" s="315">
        <f t="shared" si="88"/>
        <v>85327.452000000005</v>
      </c>
      <c r="S227" s="92">
        <v>7.6999999999999999E-2</v>
      </c>
      <c r="T227" s="316">
        <f t="shared" ca="1" si="89"/>
        <v>58</v>
      </c>
      <c r="U227" s="318">
        <f t="shared" ca="1" si="90"/>
        <v>1044</v>
      </c>
      <c r="V227" s="318">
        <f t="shared" ca="1" si="91"/>
        <v>84283.452000000005</v>
      </c>
      <c r="W227" s="319"/>
      <c r="X227" s="320"/>
      <c r="Y227" s="321"/>
      <c r="Z227" s="321"/>
      <c r="AA227" s="322"/>
      <c r="AB227" s="323"/>
      <c r="AC227" s="16" cm="1">
        <f t="array" ref="AC227">_xlfn.IFS(D227="INDUSTOWER","275000000",D227="RELIANCEIN","220000000",D227="SIEMENSLTD","83330000")-I227</f>
        <v>274905191.72000003</v>
      </c>
    </row>
    <row r="228" spans="1:29" x14ac:dyDescent="0.25">
      <c r="A228" s="298">
        <f>SUBTOTAL(3,B$3:B228)</f>
        <v>0</v>
      </c>
      <c r="B228" s="299">
        <f>SUBTOTAL(3,C$3:C228)</f>
        <v>226</v>
      </c>
      <c r="C228" s="83" t="s">
        <v>93</v>
      </c>
      <c r="D228" s="303" t="s">
        <v>27</v>
      </c>
      <c r="E228" s="49" t="s">
        <v>7</v>
      </c>
      <c r="F228" s="305" t="s">
        <v>671</v>
      </c>
      <c r="G228" s="307">
        <v>46146</v>
      </c>
      <c r="H228" s="34" t="s">
        <v>6</v>
      </c>
      <c r="I228" s="309">
        <v>506008.78</v>
      </c>
      <c r="J228" s="331" cm="1">
        <f t="array" ref="J228">_xlfn.IFS(D228="INDUSTOWER","40",D228="RELIANCEIN","44",D228="SIEMENSLTD","120",D228="CLEANMAX","40",D228="AVAADA","40",D228="ARCHTECH","40")+G228</f>
        <v>46186</v>
      </c>
      <c r="K228" s="268">
        <f t="shared" ca="1" si="67"/>
        <v>46148</v>
      </c>
      <c r="L228" s="310">
        <f t="shared" si="86"/>
        <v>46206</v>
      </c>
      <c r="M228" s="301" t="s">
        <v>700</v>
      </c>
      <c r="N228" s="312">
        <f t="shared" si="87"/>
        <v>46146</v>
      </c>
      <c r="O228" s="313"/>
      <c r="P228" s="314"/>
      <c r="Q228" s="270" t="s">
        <v>29</v>
      </c>
      <c r="R228" s="315">
        <f t="shared" si="88"/>
        <v>455407.90200000006</v>
      </c>
      <c r="S228" s="92">
        <v>7.6999999999999999E-2</v>
      </c>
      <c r="T228" s="316">
        <f t="shared" ca="1" si="89"/>
        <v>58</v>
      </c>
      <c r="U228" s="318">
        <f t="shared" ca="1" si="90"/>
        <v>5572</v>
      </c>
      <c r="V228" s="318">
        <f t="shared" ca="1" si="91"/>
        <v>449835.90200000006</v>
      </c>
      <c r="W228" s="319"/>
      <c r="X228" s="320"/>
      <c r="Y228" s="321"/>
      <c r="Z228" s="321"/>
      <c r="AA228" s="322"/>
      <c r="AB228" s="323"/>
      <c r="AC228" s="16" cm="1">
        <f t="array" ref="AC228">_xlfn.IFS(D228="INDUSTOWER","275000000",D228="RELIANCEIN","220000000",D228="SIEMENSLTD","83330000")-I228</f>
        <v>274493991.22000003</v>
      </c>
    </row>
    <row r="229" spans="1:29" x14ac:dyDescent="0.25">
      <c r="A229" s="298">
        <f>SUBTOTAL(3,B$3:B229)</f>
        <v>0</v>
      </c>
      <c r="B229" s="299">
        <f>SUBTOTAL(3,C$3:C229)</f>
        <v>227</v>
      </c>
      <c r="C229" s="83" t="s">
        <v>93</v>
      </c>
      <c r="D229" s="303" t="s">
        <v>24</v>
      </c>
      <c r="E229" s="49" t="s">
        <v>7</v>
      </c>
      <c r="F229" s="305" t="s">
        <v>672</v>
      </c>
      <c r="G229" s="307">
        <v>46146</v>
      </c>
      <c r="H229" s="34" t="s">
        <v>6</v>
      </c>
      <c r="I229" s="309">
        <v>1151810.98</v>
      </c>
      <c r="J229" s="331" cm="1">
        <f t="array" ref="J229">_xlfn.IFS(D229="INDUSTOWER","40",D229="RELIANCEIN","44",D229="SIEMENSLTD","120",D229="CLEANMAX","40",D229="AVAADA","40",D229="ARCHTECH","40")+G229</f>
        <v>46190</v>
      </c>
      <c r="K229" s="268">
        <f t="shared" ca="1" si="67"/>
        <v>46148</v>
      </c>
      <c r="L229" s="310">
        <f t="shared" si="86"/>
        <v>46210</v>
      </c>
      <c r="M229" s="301" t="s">
        <v>701</v>
      </c>
      <c r="N229" s="312">
        <f t="shared" si="87"/>
        <v>46146</v>
      </c>
      <c r="O229" s="313"/>
      <c r="P229" s="314"/>
      <c r="Q229" s="270" t="s">
        <v>26</v>
      </c>
      <c r="R229" s="315">
        <f t="shared" si="88"/>
        <v>1036629.882</v>
      </c>
      <c r="S229" s="92">
        <v>7.6999999999999999E-2</v>
      </c>
      <c r="T229" s="316">
        <f t="shared" ca="1" si="89"/>
        <v>62</v>
      </c>
      <c r="U229" s="318">
        <f t="shared" ca="1" si="90"/>
        <v>13559</v>
      </c>
      <c r="V229" s="318">
        <f t="shared" ca="1" si="91"/>
        <v>1023070.882</v>
      </c>
      <c r="W229" s="319"/>
      <c r="X229" s="320"/>
      <c r="Y229" s="321"/>
      <c r="Z229" s="321"/>
      <c r="AA229" s="322"/>
      <c r="AB229" s="323"/>
      <c r="AC229" s="16" cm="1">
        <f t="array" ref="AC229">_xlfn.IFS(D229="INDUSTOWER","275000000",D229="RELIANCEIN","220000000",D229="SIEMENSLTD","83330000")-I229</f>
        <v>218848189.02000001</v>
      </c>
    </row>
    <row r="230" spans="1:29" x14ac:dyDescent="0.25">
      <c r="A230" s="298">
        <f>SUBTOTAL(3,B$3:B230)</f>
        <v>0</v>
      </c>
      <c r="B230" s="299">
        <f>SUBTOTAL(3,C$3:C230)</f>
        <v>228</v>
      </c>
      <c r="C230" s="83" t="s">
        <v>93</v>
      </c>
      <c r="D230" s="303" t="s">
        <v>27</v>
      </c>
      <c r="E230" s="49" t="s">
        <v>7</v>
      </c>
      <c r="F230" s="305" t="s">
        <v>673</v>
      </c>
      <c r="G230" s="307">
        <v>46146</v>
      </c>
      <c r="H230" s="34" t="s">
        <v>6</v>
      </c>
      <c r="I230" s="309">
        <v>506008.78</v>
      </c>
      <c r="J230" s="331" cm="1">
        <f t="array" ref="J230">_xlfn.IFS(D230="INDUSTOWER","40",D230="RELIANCEIN","44",D230="SIEMENSLTD","120",D230="CLEANMAX","40",D230="AVAADA","40",D230="ARCHTECH","40")+G230</f>
        <v>46186</v>
      </c>
      <c r="K230" s="268">
        <f t="shared" ca="1" si="67"/>
        <v>46148</v>
      </c>
      <c r="L230" s="310">
        <f t="shared" si="86"/>
        <v>46206</v>
      </c>
      <c r="M230" s="301" t="s">
        <v>702</v>
      </c>
      <c r="N230" s="312">
        <f t="shared" si="87"/>
        <v>46146</v>
      </c>
      <c r="O230" s="313"/>
      <c r="P230" s="314"/>
      <c r="Q230" s="270" t="s">
        <v>29</v>
      </c>
      <c r="R230" s="315">
        <f t="shared" si="88"/>
        <v>455407.90200000006</v>
      </c>
      <c r="S230" s="92">
        <v>7.6999999999999999E-2</v>
      </c>
      <c r="T230" s="316">
        <f t="shared" ca="1" si="89"/>
        <v>58</v>
      </c>
      <c r="U230" s="318">
        <f t="shared" ca="1" si="90"/>
        <v>5572</v>
      </c>
      <c r="V230" s="318">
        <f t="shared" ca="1" si="91"/>
        <v>449835.90200000006</v>
      </c>
      <c r="W230" s="319"/>
      <c r="X230" s="320"/>
      <c r="Y230" s="321"/>
      <c r="Z230" s="321"/>
      <c r="AA230" s="322"/>
      <c r="AB230" s="323"/>
      <c r="AC230" s="16" cm="1">
        <f t="array" ref="AC230">_xlfn.IFS(D230="INDUSTOWER","275000000",D230="RELIANCEIN","220000000",D230="SIEMENSLTD","83330000")-I230</f>
        <v>274493991.22000003</v>
      </c>
    </row>
    <row r="231" spans="1:29" x14ac:dyDescent="0.25">
      <c r="A231" s="298">
        <f>SUBTOTAL(3,B$3:B231)</f>
        <v>0</v>
      </c>
      <c r="B231" s="299">
        <f>SUBTOTAL(3,C$3:C231)</f>
        <v>229</v>
      </c>
      <c r="C231" s="83" t="s">
        <v>93</v>
      </c>
      <c r="D231" s="303" t="s">
        <v>27</v>
      </c>
      <c r="E231" s="49" t="s">
        <v>7</v>
      </c>
      <c r="F231" s="305" t="s">
        <v>674</v>
      </c>
      <c r="G231" s="307">
        <v>46146</v>
      </c>
      <c r="H231" s="34" t="s">
        <v>6</v>
      </c>
      <c r="I231" s="309">
        <v>94808.28</v>
      </c>
      <c r="J231" s="331" cm="1">
        <f t="array" ref="J231">_xlfn.IFS(D231="INDUSTOWER","40",D231="RELIANCEIN","44",D231="SIEMENSLTD","120",D231="CLEANMAX","40",D231="AVAADA","40",D231="ARCHTECH","40")+G231</f>
        <v>46186</v>
      </c>
      <c r="K231" s="268">
        <f t="shared" ca="1" si="67"/>
        <v>46148</v>
      </c>
      <c r="L231" s="310">
        <f t="shared" si="86"/>
        <v>46206</v>
      </c>
      <c r="M231" s="301" t="s">
        <v>703</v>
      </c>
      <c r="N231" s="312">
        <f t="shared" si="87"/>
        <v>46146</v>
      </c>
      <c r="O231" s="313"/>
      <c r="P231" s="314"/>
      <c r="Q231" s="270" t="s">
        <v>587</v>
      </c>
      <c r="R231" s="315">
        <f t="shared" si="88"/>
        <v>85327.452000000005</v>
      </c>
      <c r="S231" s="92">
        <v>7.6999999999999999E-2</v>
      </c>
      <c r="T231" s="316">
        <f t="shared" ca="1" si="89"/>
        <v>58</v>
      </c>
      <c r="U231" s="318">
        <f t="shared" ca="1" si="90"/>
        <v>1044</v>
      </c>
      <c r="V231" s="318">
        <f t="shared" ca="1" si="91"/>
        <v>84283.452000000005</v>
      </c>
      <c r="W231" s="319"/>
      <c r="X231" s="320"/>
      <c r="Y231" s="321"/>
      <c r="Z231" s="321"/>
      <c r="AA231" s="322"/>
      <c r="AB231" s="323"/>
      <c r="AC231" s="16" cm="1">
        <f t="array" ref="AC231">_xlfn.IFS(D231="INDUSTOWER","275000000",D231="RELIANCEIN","220000000",D231="SIEMENSLTD","83330000")-I231</f>
        <v>274905191.72000003</v>
      </c>
    </row>
    <row r="232" spans="1:29" x14ac:dyDescent="0.25">
      <c r="A232" s="298">
        <f>SUBTOTAL(3,B$3:B232)</f>
        <v>0</v>
      </c>
      <c r="B232" s="299">
        <f>SUBTOTAL(3,C$3:C232)</f>
        <v>230</v>
      </c>
      <c r="C232" s="83" t="s">
        <v>93</v>
      </c>
      <c r="D232" s="303" t="s">
        <v>27</v>
      </c>
      <c r="E232" s="49" t="s">
        <v>7</v>
      </c>
      <c r="F232" s="305" t="s">
        <v>675</v>
      </c>
      <c r="G232" s="307">
        <v>46146</v>
      </c>
      <c r="H232" s="34" t="s">
        <v>6</v>
      </c>
      <c r="I232" s="309">
        <v>506008.78</v>
      </c>
      <c r="J232" s="331" cm="1">
        <f t="array" ref="J232">_xlfn.IFS(D232="INDUSTOWER","40",D232="RELIANCEIN","44",D232="SIEMENSLTD","120",D232="CLEANMAX","40",D232="AVAADA","40",D232="ARCHTECH","40")+G232</f>
        <v>46186</v>
      </c>
      <c r="K232" s="268">
        <f t="shared" ca="1" si="67"/>
        <v>46148</v>
      </c>
      <c r="L232" s="310">
        <f t="shared" si="86"/>
        <v>46206</v>
      </c>
      <c r="M232" s="301" t="s">
        <v>704</v>
      </c>
      <c r="N232" s="312">
        <f t="shared" si="87"/>
        <v>46146</v>
      </c>
      <c r="O232" s="313"/>
      <c r="P232" s="314"/>
      <c r="Q232" s="270" t="s">
        <v>29</v>
      </c>
      <c r="R232" s="315">
        <f t="shared" si="88"/>
        <v>455407.90200000006</v>
      </c>
      <c r="S232" s="92">
        <v>7.6999999999999999E-2</v>
      </c>
      <c r="T232" s="316">
        <f t="shared" ca="1" si="89"/>
        <v>58</v>
      </c>
      <c r="U232" s="318">
        <f t="shared" ca="1" si="90"/>
        <v>5572</v>
      </c>
      <c r="V232" s="318">
        <f t="shared" ca="1" si="91"/>
        <v>449835.90200000006</v>
      </c>
      <c r="W232" s="319"/>
      <c r="X232" s="320"/>
      <c r="Y232" s="321"/>
      <c r="Z232" s="321"/>
      <c r="AA232" s="322"/>
      <c r="AB232" s="323"/>
      <c r="AC232" s="16" cm="1">
        <f t="array" ref="AC232">_xlfn.IFS(D232="INDUSTOWER","275000000",D232="RELIANCEIN","220000000",D232="SIEMENSLTD","83330000")-I232</f>
        <v>274493991.22000003</v>
      </c>
    </row>
    <row r="233" spans="1:29" x14ac:dyDescent="0.25">
      <c r="A233" s="298">
        <f>SUBTOTAL(3,B$3:B233)</f>
        <v>0</v>
      </c>
      <c r="B233" s="299">
        <f>SUBTOTAL(3,C$3:C233)</f>
        <v>231</v>
      </c>
      <c r="C233" s="83" t="s">
        <v>93</v>
      </c>
      <c r="D233" s="303" t="s">
        <v>27</v>
      </c>
      <c r="E233" s="49" t="s">
        <v>7</v>
      </c>
      <c r="F233" s="305" t="s">
        <v>676</v>
      </c>
      <c r="G233" s="307">
        <v>46146</v>
      </c>
      <c r="H233" s="34" t="s">
        <v>6</v>
      </c>
      <c r="I233" s="309">
        <v>94808.28</v>
      </c>
      <c r="J233" s="331" cm="1">
        <f t="array" ref="J233">_xlfn.IFS(D233="INDUSTOWER","40",D233="RELIANCEIN","44",D233="SIEMENSLTD","120",D233="CLEANMAX","40",D233="AVAADA","40",D233="ARCHTECH","40")+G233</f>
        <v>46186</v>
      </c>
      <c r="K233" s="268">
        <f t="shared" ca="1" si="67"/>
        <v>46148</v>
      </c>
      <c r="L233" s="310">
        <f t="shared" si="86"/>
        <v>46206</v>
      </c>
      <c r="M233" s="301" t="s">
        <v>705</v>
      </c>
      <c r="N233" s="312">
        <f t="shared" si="87"/>
        <v>46146</v>
      </c>
      <c r="O233" s="313"/>
      <c r="P233" s="314"/>
      <c r="Q233" s="270" t="s">
        <v>587</v>
      </c>
      <c r="R233" s="315">
        <f t="shared" si="88"/>
        <v>85327.452000000005</v>
      </c>
      <c r="S233" s="92">
        <v>7.6999999999999999E-2</v>
      </c>
      <c r="T233" s="316">
        <f t="shared" ca="1" si="89"/>
        <v>58</v>
      </c>
      <c r="U233" s="318">
        <f t="shared" ca="1" si="90"/>
        <v>1044</v>
      </c>
      <c r="V233" s="318">
        <f t="shared" ca="1" si="91"/>
        <v>84283.452000000005</v>
      </c>
      <c r="W233" s="319"/>
      <c r="X233" s="320"/>
      <c r="Y233" s="321"/>
      <c r="Z233" s="321"/>
      <c r="AA233" s="322"/>
      <c r="AB233" s="323"/>
      <c r="AC233" s="16" cm="1">
        <f t="array" ref="AC233">_xlfn.IFS(D233="INDUSTOWER","275000000",D233="RELIANCEIN","220000000",D233="SIEMENSLTD","83330000")-I233</f>
        <v>274905191.72000003</v>
      </c>
    </row>
    <row r="234" spans="1:29" x14ac:dyDescent="0.25">
      <c r="A234" s="298">
        <f>SUBTOTAL(3,B$3:B234)</f>
        <v>0</v>
      </c>
      <c r="B234" s="299">
        <f>SUBTOTAL(3,C$3:C234)</f>
        <v>232</v>
      </c>
      <c r="C234" s="83" t="s">
        <v>93</v>
      </c>
      <c r="D234" s="303" t="s">
        <v>24</v>
      </c>
      <c r="E234" s="49" t="s">
        <v>7</v>
      </c>
      <c r="F234" s="305" t="s">
        <v>677</v>
      </c>
      <c r="G234" s="307">
        <v>46146</v>
      </c>
      <c r="H234" s="34" t="s">
        <v>6</v>
      </c>
      <c r="I234" s="309">
        <v>822460</v>
      </c>
      <c r="J234" s="331" cm="1">
        <f t="array" ref="J234">_xlfn.IFS(D234="INDUSTOWER","40",D234="RELIANCEIN","44",D234="SIEMENSLTD","120",D234="CLEANMAX","40",D234="AVAADA","40",D234="ARCHTECH","40")+G234</f>
        <v>46190</v>
      </c>
      <c r="K234" s="268">
        <f t="shared" ca="1" si="67"/>
        <v>46148</v>
      </c>
      <c r="L234" s="310">
        <f t="shared" si="86"/>
        <v>46210</v>
      </c>
      <c r="M234" s="301" t="s">
        <v>706</v>
      </c>
      <c r="N234" s="312">
        <f t="shared" si="87"/>
        <v>46146</v>
      </c>
      <c r="O234" s="313"/>
      <c r="P234" s="314"/>
      <c r="Q234" s="270" t="s">
        <v>196</v>
      </c>
      <c r="R234" s="315">
        <f t="shared" si="88"/>
        <v>740214</v>
      </c>
      <c r="S234" s="92">
        <v>7.6999999999999999E-2</v>
      </c>
      <c r="T234" s="316">
        <f t="shared" ca="1" si="89"/>
        <v>62</v>
      </c>
      <c r="U234" s="318">
        <f t="shared" ca="1" si="90"/>
        <v>9682</v>
      </c>
      <c r="V234" s="318">
        <f t="shared" ca="1" si="91"/>
        <v>730532</v>
      </c>
      <c r="W234" s="319"/>
      <c r="X234" s="320"/>
      <c r="Y234" s="321"/>
      <c r="Z234" s="321"/>
      <c r="AA234" s="322"/>
      <c r="AB234" s="323"/>
      <c r="AC234" s="16" cm="1">
        <f t="array" ref="AC234">_xlfn.IFS(D234="INDUSTOWER","275000000",D234="RELIANCEIN","220000000",D234="SIEMENSLTD","83330000")-I234</f>
        <v>219177540</v>
      </c>
    </row>
    <row r="235" spans="1:29" x14ac:dyDescent="0.25">
      <c r="A235" s="362">
        <f>SUBTOTAL(3,B$3:B259)</f>
        <v>0</v>
      </c>
      <c r="B235" s="343">
        <f>SUBTOTAL(3,C$3:C259)</f>
        <v>257</v>
      </c>
      <c r="C235" s="83" t="s">
        <v>93</v>
      </c>
      <c r="D235" s="303" t="s">
        <v>453</v>
      </c>
      <c r="E235" s="49" t="s">
        <v>7</v>
      </c>
      <c r="F235" s="305" t="s">
        <v>678</v>
      </c>
      <c r="G235" s="307">
        <v>46146</v>
      </c>
      <c r="H235" s="34" t="s">
        <v>6</v>
      </c>
      <c r="I235" s="309">
        <v>1191733.92</v>
      </c>
      <c r="J235" s="331" cm="1">
        <f t="array" ref="J235">_xlfn.IFS(D235="INDUSTOWER","40",D235="RELIANCEIN","44",D235="SIEMENSLTD","120",D235="CLEANMAX","40",D235="AVAADA","40",D235="ARCHTECH","40")+G235</f>
        <v>46186</v>
      </c>
      <c r="K235" s="268">
        <f t="shared" ca="1" si="67"/>
        <v>46148</v>
      </c>
      <c r="L235" s="310">
        <f t="shared" si="86"/>
        <v>46206</v>
      </c>
      <c r="M235" s="301" t="s">
        <v>707</v>
      </c>
      <c r="N235" s="312">
        <f t="shared" si="87"/>
        <v>46146</v>
      </c>
      <c r="O235" s="311"/>
      <c r="P235" s="325"/>
      <c r="Q235" s="270" t="s">
        <v>460</v>
      </c>
      <c r="R235" s="315">
        <f t="shared" si="88"/>
        <v>1072560.5279999999</v>
      </c>
      <c r="S235" s="92">
        <v>7.6999999999999999E-2</v>
      </c>
      <c r="T235" s="316">
        <f t="shared" ca="1" si="89"/>
        <v>58</v>
      </c>
      <c r="U235" s="318">
        <f t="shared" ca="1" si="90"/>
        <v>13123</v>
      </c>
      <c r="V235" s="318">
        <f t="shared" ca="1" si="91"/>
        <v>1059437.5279999999</v>
      </c>
      <c r="W235" s="326"/>
      <c r="X235" s="300"/>
      <c r="Y235" s="327"/>
      <c r="Z235" s="327"/>
      <c r="AA235" s="328"/>
      <c r="AB235" s="329"/>
      <c r="AC235" s="16" t="e" cm="1">
        <f t="array" ref="AC235">_xlfn.IFS(D235="INDUSTOWER","275000000",D235="RELIANCEIN","220000000",D235="SIEMENSLTD","83330000")-I235</f>
        <v>#N/A</v>
      </c>
    </row>
    <row r="236" spans="1:29" x14ac:dyDescent="0.25">
      <c r="A236" s="298">
        <f>SUBTOTAL(3,B$3:B236)</f>
        <v>0</v>
      </c>
      <c r="B236" s="299">
        <f>SUBTOTAL(3,C$3:C236)</f>
        <v>234</v>
      </c>
      <c r="C236" s="83" t="s">
        <v>93</v>
      </c>
      <c r="D236" s="302" t="s">
        <v>27</v>
      </c>
      <c r="E236" s="49" t="s">
        <v>7</v>
      </c>
      <c r="F236" s="304" t="s">
        <v>708</v>
      </c>
      <c r="G236" s="306">
        <v>46147</v>
      </c>
      <c r="H236" s="34" t="s">
        <v>6</v>
      </c>
      <c r="I236" s="308">
        <v>684578.18</v>
      </c>
      <c r="J236" s="330" cm="1">
        <f t="array" ref="J236">_xlfn.IFS(D236="INDUSTOWER","40",D236="RELIANCEIN","44",D236="SIEMENSLTD","120",D236="CLEANMAX","40",D236="AVAADA","40",D236="ARCHTECH","40")+G236</f>
        <v>46187</v>
      </c>
      <c r="K236" s="268">
        <f t="shared" ca="1" si="67"/>
        <v>46148</v>
      </c>
      <c r="L236" s="310">
        <f t="shared" ref="L236:L259" si="92">+J236+20</f>
        <v>46207</v>
      </c>
      <c r="M236" s="300" t="s">
        <v>732</v>
      </c>
      <c r="N236" s="311">
        <f t="shared" ref="N236:N259" si="93">+G236</f>
        <v>46147</v>
      </c>
      <c r="O236" s="313"/>
      <c r="P236" s="314"/>
      <c r="Q236" s="270" t="s">
        <v>70</v>
      </c>
      <c r="R236" s="315">
        <f t="shared" ref="R236:R259" si="94">+I236*0.9</f>
        <v>616120.36200000008</v>
      </c>
      <c r="S236" s="359"/>
      <c r="T236" s="316">
        <f t="shared" ref="T236:T259" ca="1" si="95">+J236-K236+20</f>
        <v>59</v>
      </c>
      <c r="U236" s="317">
        <f t="shared" ref="U236:U259" ca="1" si="96">ROUND(+R236*S236*T236/365,0)</f>
        <v>0</v>
      </c>
      <c r="V236" s="318">
        <f t="shared" ref="V236:V259" ca="1" si="97">+R236-U236</f>
        <v>616120.36200000008</v>
      </c>
      <c r="W236" s="319"/>
      <c r="X236" s="320"/>
      <c r="Y236" s="321"/>
      <c r="Z236" s="321"/>
      <c r="AA236" s="322"/>
      <c r="AB236" s="323"/>
      <c r="AC236" s="361" cm="1">
        <f t="array" ref="AC236">_xlfn.IFS(D236="INDUSTOWER","275000000",D236="RELIANCEIN","220000000",D236="SIEMENSLTD","83330000")-I236</f>
        <v>274315421.81999999</v>
      </c>
    </row>
    <row r="237" spans="1:29" x14ac:dyDescent="0.25">
      <c r="A237" s="298">
        <f>SUBTOTAL(3,B$3:B237)</f>
        <v>0</v>
      </c>
      <c r="B237" s="299">
        <f>SUBTOTAL(3,C$3:C237)</f>
        <v>235</v>
      </c>
      <c r="C237" s="83" t="s">
        <v>93</v>
      </c>
      <c r="D237" s="303" t="s">
        <v>27</v>
      </c>
      <c r="E237" s="49" t="s">
        <v>7</v>
      </c>
      <c r="F237" s="305" t="s">
        <v>709</v>
      </c>
      <c r="G237" s="307">
        <v>46147</v>
      </c>
      <c r="H237" s="34" t="s">
        <v>6</v>
      </c>
      <c r="I237" s="309">
        <v>671243</v>
      </c>
      <c r="J237" s="331" cm="1">
        <f t="array" ref="J237">_xlfn.IFS(D237="INDUSTOWER","40",D237="RELIANCEIN","44",D237="SIEMENSLTD","120",D237="CLEANMAX","40",D237="AVAADA","40",D237="ARCHTECH","40")+G237</f>
        <v>46187</v>
      </c>
      <c r="K237" s="268">
        <f t="shared" ca="1" si="67"/>
        <v>46148</v>
      </c>
      <c r="L237" s="310">
        <f t="shared" si="92"/>
        <v>46207</v>
      </c>
      <c r="M237" s="301" t="s">
        <v>733</v>
      </c>
      <c r="N237" s="312">
        <f t="shared" si="93"/>
        <v>46147</v>
      </c>
      <c r="O237" s="313"/>
      <c r="P237" s="314"/>
      <c r="Q237" s="270" t="s">
        <v>53</v>
      </c>
      <c r="R237" s="315">
        <f t="shared" si="94"/>
        <v>604118.70000000007</v>
      </c>
      <c r="S237" s="360"/>
      <c r="T237" s="316">
        <f t="shared" ca="1" si="95"/>
        <v>59</v>
      </c>
      <c r="U237" s="318">
        <f t="shared" ca="1" si="96"/>
        <v>0</v>
      </c>
      <c r="V237" s="318">
        <f t="shared" ca="1" si="97"/>
        <v>604118.70000000007</v>
      </c>
      <c r="W237" s="319"/>
      <c r="X237" s="320"/>
      <c r="Y237" s="321"/>
      <c r="Z237" s="321"/>
      <c r="AA237" s="322"/>
      <c r="AB237" s="323"/>
      <c r="AC237" s="361" cm="1">
        <f t="array" ref="AC237">_xlfn.IFS(D237="INDUSTOWER","275000000",D237="RELIANCEIN","220000000",D237="SIEMENSLTD","83330000")-I237</f>
        <v>274328757</v>
      </c>
    </row>
    <row r="238" spans="1:29" x14ac:dyDescent="0.25">
      <c r="A238" s="298">
        <f>SUBTOTAL(3,B$3:B238)</f>
        <v>0</v>
      </c>
      <c r="B238" s="299">
        <f>SUBTOTAL(3,C$3:C238)</f>
        <v>236</v>
      </c>
      <c r="C238" s="83" t="s">
        <v>93</v>
      </c>
      <c r="D238" s="303" t="s">
        <v>27</v>
      </c>
      <c r="E238" s="49" t="s">
        <v>7</v>
      </c>
      <c r="F238" s="305" t="s">
        <v>710</v>
      </c>
      <c r="G238" s="307">
        <v>46147</v>
      </c>
      <c r="H238" s="34" t="s">
        <v>6</v>
      </c>
      <c r="I238" s="309">
        <v>506008.78</v>
      </c>
      <c r="J238" s="331" cm="1">
        <f t="array" ref="J238">_xlfn.IFS(D238="INDUSTOWER","40",D238="RELIANCEIN","44",D238="SIEMENSLTD","120",D238="CLEANMAX","40",D238="AVAADA","40",D238="ARCHTECH","40")+G238</f>
        <v>46187</v>
      </c>
      <c r="K238" s="268">
        <f t="shared" ca="1" si="67"/>
        <v>46148</v>
      </c>
      <c r="L238" s="310">
        <f t="shared" si="92"/>
        <v>46207</v>
      </c>
      <c r="M238" s="301" t="s">
        <v>734</v>
      </c>
      <c r="N238" s="312">
        <f t="shared" si="93"/>
        <v>46147</v>
      </c>
      <c r="O238" s="313"/>
      <c r="P238" s="314"/>
      <c r="Q238" s="270" t="s">
        <v>29</v>
      </c>
      <c r="R238" s="315">
        <f t="shared" si="94"/>
        <v>455407.90200000006</v>
      </c>
      <c r="S238" s="360"/>
      <c r="T238" s="316">
        <f t="shared" ca="1" si="95"/>
        <v>59</v>
      </c>
      <c r="U238" s="318">
        <f t="shared" ca="1" si="96"/>
        <v>0</v>
      </c>
      <c r="V238" s="318">
        <f t="shared" ca="1" si="97"/>
        <v>455407.90200000006</v>
      </c>
      <c r="W238" s="319"/>
      <c r="X238" s="320"/>
      <c r="Y238" s="321"/>
      <c r="Z238" s="321"/>
      <c r="AA238" s="322"/>
      <c r="AB238" s="323"/>
      <c r="AC238" s="361" cm="1">
        <f t="array" ref="AC238">_xlfn.IFS(D238="INDUSTOWER","275000000",D238="RELIANCEIN","220000000",D238="SIEMENSLTD","83330000")-I238</f>
        <v>274493991.22000003</v>
      </c>
    </row>
    <row r="239" spans="1:29" x14ac:dyDescent="0.25">
      <c r="A239" s="298">
        <f>SUBTOTAL(3,B$3:B239)</f>
        <v>0</v>
      </c>
      <c r="B239" s="299">
        <f>SUBTOTAL(3,C$3:C239)</f>
        <v>237</v>
      </c>
      <c r="C239" s="83" t="s">
        <v>93</v>
      </c>
      <c r="D239" s="303" t="s">
        <v>27</v>
      </c>
      <c r="E239" s="49" t="s">
        <v>7</v>
      </c>
      <c r="F239" s="305" t="s">
        <v>711</v>
      </c>
      <c r="G239" s="307">
        <v>46147</v>
      </c>
      <c r="H239" s="34" t="s">
        <v>6</v>
      </c>
      <c r="I239" s="309">
        <v>94808.28</v>
      </c>
      <c r="J239" s="331" cm="1">
        <f t="array" ref="J239">_xlfn.IFS(D239="INDUSTOWER","40",D239="RELIANCEIN","44",D239="SIEMENSLTD","120",D239="CLEANMAX","40",D239="AVAADA","40",D239="ARCHTECH","40")+G239</f>
        <v>46187</v>
      </c>
      <c r="K239" s="268">
        <f t="shared" ca="1" si="67"/>
        <v>46148</v>
      </c>
      <c r="L239" s="310">
        <f t="shared" si="92"/>
        <v>46207</v>
      </c>
      <c r="M239" s="301" t="s">
        <v>735</v>
      </c>
      <c r="N239" s="312">
        <f t="shared" si="93"/>
        <v>46147</v>
      </c>
      <c r="O239" s="313"/>
      <c r="P239" s="314"/>
      <c r="Q239" s="270" t="s">
        <v>587</v>
      </c>
      <c r="R239" s="315">
        <f t="shared" si="94"/>
        <v>85327.452000000005</v>
      </c>
      <c r="S239" s="360"/>
      <c r="T239" s="316">
        <f t="shared" ca="1" si="95"/>
        <v>59</v>
      </c>
      <c r="U239" s="318">
        <f t="shared" ca="1" si="96"/>
        <v>0</v>
      </c>
      <c r="V239" s="318">
        <f t="shared" ca="1" si="97"/>
        <v>85327.452000000005</v>
      </c>
      <c r="W239" s="319"/>
      <c r="X239" s="320"/>
      <c r="Y239" s="321"/>
      <c r="Z239" s="321"/>
      <c r="AA239" s="322"/>
      <c r="AB239" s="323"/>
      <c r="AC239" s="361" cm="1">
        <f t="array" ref="AC239">_xlfn.IFS(D239="INDUSTOWER","275000000",D239="RELIANCEIN","220000000",D239="SIEMENSLTD","83330000")-I239</f>
        <v>274905191.72000003</v>
      </c>
    </row>
    <row r="240" spans="1:29" x14ac:dyDescent="0.25">
      <c r="A240" s="298">
        <f>SUBTOTAL(3,B$3:B240)</f>
        <v>0</v>
      </c>
      <c r="B240" s="299">
        <f>SUBTOTAL(3,C$3:C240)</f>
        <v>238</v>
      </c>
      <c r="C240" s="83" t="s">
        <v>93</v>
      </c>
      <c r="D240" s="303" t="s">
        <v>24</v>
      </c>
      <c r="E240" s="49" t="s">
        <v>7</v>
      </c>
      <c r="F240" s="305" t="s">
        <v>712</v>
      </c>
      <c r="G240" s="307">
        <v>46147</v>
      </c>
      <c r="H240" s="34" t="s">
        <v>6</v>
      </c>
      <c r="I240" s="309">
        <v>822460</v>
      </c>
      <c r="J240" s="331" cm="1">
        <f t="array" ref="J240">_xlfn.IFS(D240="INDUSTOWER","40",D240="RELIANCEIN","44",D240="SIEMENSLTD","120",D240="CLEANMAX","40",D240="AVAADA","40",D240="ARCHTECH","40")+G240</f>
        <v>46191</v>
      </c>
      <c r="K240" s="268">
        <f t="shared" ca="1" si="67"/>
        <v>46148</v>
      </c>
      <c r="L240" s="310">
        <f t="shared" si="92"/>
        <v>46211</v>
      </c>
      <c r="M240" s="301" t="s">
        <v>736</v>
      </c>
      <c r="N240" s="312">
        <f t="shared" si="93"/>
        <v>46147</v>
      </c>
      <c r="O240" s="313"/>
      <c r="P240" s="314"/>
      <c r="Q240" s="270" t="s">
        <v>196</v>
      </c>
      <c r="R240" s="315">
        <f t="shared" si="94"/>
        <v>740214</v>
      </c>
      <c r="S240" s="360"/>
      <c r="T240" s="316">
        <f t="shared" ca="1" si="95"/>
        <v>63</v>
      </c>
      <c r="U240" s="318">
        <f t="shared" ca="1" si="96"/>
        <v>0</v>
      </c>
      <c r="V240" s="318">
        <f t="shared" ca="1" si="97"/>
        <v>740214</v>
      </c>
      <c r="W240" s="319"/>
      <c r="X240" s="320"/>
      <c r="Y240" s="321"/>
      <c r="Z240" s="321"/>
      <c r="AA240" s="322"/>
      <c r="AB240" s="323"/>
      <c r="AC240" s="361" cm="1">
        <f t="array" ref="AC240">_xlfn.IFS(D240="INDUSTOWER","275000000",D240="RELIANCEIN","220000000",D240="SIEMENSLTD","83330000")-I240</f>
        <v>219177540</v>
      </c>
    </row>
    <row r="241" spans="1:29" x14ac:dyDescent="0.25">
      <c r="A241" s="298">
        <f>SUBTOTAL(3,B$3:B241)</f>
        <v>0</v>
      </c>
      <c r="B241" s="299">
        <f>SUBTOTAL(3,C$3:C241)</f>
        <v>239</v>
      </c>
      <c r="C241" s="83" t="s">
        <v>93</v>
      </c>
      <c r="D241" s="303" t="s">
        <v>453</v>
      </c>
      <c r="E241" s="49" t="s">
        <v>7</v>
      </c>
      <c r="F241" s="305" t="s">
        <v>713</v>
      </c>
      <c r="G241" s="307">
        <v>46147</v>
      </c>
      <c r="H241" s="34" t="s">
        <v>6</v>
      </c>
      <c r="I241" s="309">
        <v>3039453.44</v>
      </c>
      <c r="J241" s="331" cm="1">
        <f t="array" ref="J241">_xlfn.IFS(D241="INDUSTOWER","40",D241="RELIANCEIN","44",D241="SIEMENSLTD","120",D241="CLEANMAX","40",D241="AVAADA","40",D241="ARCHTECH","40")+G241</f>
        <v>46187</v>
      </c>
      <c r="K241" s="268">
        <f t="shared" ca="1" si="67"/>
        <v>46148</v>
      </c>
      <c r="L241" s="310">
        <f t="shared" si="92"/>
        <v>46207</v>
      </c>
      <c r="M241" s="301" t="s">
        <v>737</v>
      </c>
      <c r="N241" s="312">
        <f t="shared" si="93"/>
        <v>46147</v>
      </c>
      <c r="O241" s="313"/>
      <c r="P241" s="314"/>
      <c r="Q241" s="270" t="s">
        <v>461</v>
      </c>
      <c r="R241" s="315">
        <f t="shared" si="94"/>
        <v>2735508.0959999999</v>
      </c>
      <c r="S241" s="360"/>
      <c r="T241" s="316">
        <f t="shared" ca="1" si="95"/>
        <v>59</v>
      </c>
      <c r="U241" s="318">
        <f t="shared" ca="1" si="96"/>
        <v>0</v>
      </c>
      <c r="V241" s="318">
        <f t="shared" ca="1" si="97"/>
        <v>2735508.0959999999</v>
      </c>
      <c r="W241" s="319"/>
      <c r="X241" s="320"/>
      <c r="Y241" s="321"/>
      <c r="Z241" s="321"/>
      <c r="AA241" s="322"/>
      <c r="AB241" s="323"/>
      <c r="AC241" s="361" t="e" cm="1">
        <f t="array" ref="AC241">_xlfn.IFS(D241="INDUSTOWER","275000000",D241="RELIANCEIN","220000000",D241="SIEMENSLTD","83330000")-I241</f>
        <v>#N/A</v>
      </c>
    </row>
    <row r="242" spans="1:29" x14ac:dyDescent="0.25">
      <c r="A242" s="298">
        <f>SUBTOTAL(3,B$3:B242)</f>
        <v>0</v>
      </c>
      <c r="B242" s="299">
        <f>SUBTOTAL(3,C$3:C242)</f>
        <v>240</v>
      </c>
      <c r="C242" s="83" t="s">
        <v>93</v>
      </c>
      <c r="D242" s="303" t="s">
        <v>27</v>
      </c>
      <c r="E242" s="49" t="s">
        <v>7</v>
      </c>
      <c r="F242" s="305" t="s">
        <v>714</v>
      </c>
      <c r="G242" s="307">
        <v>46147</v>
      </c>
      <c r="H242" s="34" t="s">
        <v>6</v>
      </c>
      <c r="I242" s="309">
        <v>457703.12</v>
      </c>
      <c r="J242" s="331" cm="1">
        <f t="array" ref="J242">_xlfn.IFS(D242="INDUSTOWER","40",D242="RELIANCEIN","44",D242="SIEMENSLTD","120",D242="CLEANMAX","40",D242="AVAADA","40",D242="ARCHTECH","40")+G242</f>
        <v>46187</v>
      </c>
      <c r="K242" s="268">
        <f t="shared" ca="1" si="67"/>
        <v>46148</v>
      </c>
      <c r="L242" s="310">
        <f t="shared" si="92"/>
        <v>46207</v>
      </c>
      <c r="M242" s="301" t="s">
        <v>738</v>
      </c>
      <c r="N242" s="312">
        <f t="shared" si="93"/>
        <v>46147</v>
      </c>
      <c r="O242" s="313"/>
      <c r="P242" s="314"/>
      <c r="Q242" s="270" t="s">
        <v>756</v>
      </c>
      <c r="R242" s="315">
        <f t="shared" si="94"/>
        <v>411932.80800000002</v>
      </c>
      <c r="S242" s="360"/>
      <c r="T242" s="316">
        <f t="shared" ca="1" si="95"/>
        <v>59</v>
      </c>
      <c r="U242" s="318">
        <f t="shared" ca="1" si="96"/>
        <v>0</v>
      </c>
      <c r="V242" s="318">
        <f t="shared" ca="1" si="97"/>
        <v>411932.80800000002</v>
      </c>
      <c r="W242" s="319"/>
      <c r="X242" s="320"/>
      <c r="Y242" s="321"/>
      <c r="Z242" s="321"/>
      <c r="AA242" s="322"/>
      <c r="AB242" s="323"/>
      <c r="AC242" s="361" cm="1">
        <f t="array" ref="AC242">_xlfn.IFS(D242="INDUSTOWER","275000000",D242="RELIANCEIN","220000000",D242="SIEMENSLTD","83330000")-I242</f>
        <v>274542296.88</v>
      </c>
    </row>
    <row r="243" spans="1:29" x14ac:dyDescent="0.25">
      <c r="A243" s="298">
        <f>SUBTOTAL(3,B$3:B243)</f>
        <v>0</v>
      </c>
      <c r="B243" s="299">
        <f>SUBTOTAL(3,C$3:C243)</f>
        <v>241</v>
      </c>
      <c r="C243" s="83" t="s">
        <v>93</v>
      </c>
      <c r="D243" s="303" t="s">
        <v>27</v>
      </c>
      <c r="E243" s="49" t="s">
        <v>7</v>
      </c>
      <c r="F243" s="305" t="s">
        <v>715</v>
      </c>
      <c r="G243" s="307">
        <v>46147</v>
      </c>
      <c r="H243" s="34" t="s">
        <v>6</v>
      </c>
      <c r="I243" s="309">
        <v>457703.12</v>
      </c>
      <c r="J243" s="331" cm="1">
        <f t="array" ref="J243">_xlfn.IFS(D243="INDUSTOWER","40",D243="RELIANCEIN","44",D243="SIEMENSLTD","120",D243="CLEANMAX","40",D243="AVAADA","40",D243="ARCHTECH","40")+G243</f>
        <v>46187</v>
      </c>
      <c r="K243" s="268">
        <f t="shared" ca="1" si="67"/>
        <v>46148</v>
      </c>
      <c r="L243" s="310">
        <f t="shared" si="92"/>
        <v>46207</v>
      </c>
      <c r="M243" s="301" t="s">
        <v>739</v>
      </c>
      <c r="N243" s="312">
        <f t="shared" si="93"/>
        <v>46147</v>
      </c>
      <c r="O243" s="313"/>
      <c r="P243" s="314"/>
      <c r="Q243" s="270" t="s">
        <v>756</v>
      </c>
      <c r="R243" s="315">
        <f t="shared" si="94"/>
        <v>411932.80800000002</v>
      </c>
      <c r="S243" s="360"/>
      <c r="T243" s="316">
        <f t="shared" ca="1" si="95"/>
        <v>59</v>
      </c>
      <c r="U243" s="318">
        <f t="shared" ca="1" si="96"/>
        <v>0</v>
      </c>
      <c r="V243" s="318">
        <f t="shared" ca="1" si="97"/>
        <v>411932.80800000002</v>
      </c>
      <c r="W243" s="319"/>
      <c r="X243" s="320"/>
      <c r="Y243" s="321"/>
      <c r="Z243" s="321"/>
      <c r="AA243" s="322"/>
      <c r="AB243" s="323"/>
      <c r="AC243" s="361" cm="1">
        <f t="array" ref="AC243">_xlfn.IFS(D243="INDUSTOWER","275000000",D243="RELIANCEIN","220000000",D243="SIEMENSLTD","83330000")-I243</f>
        <v>274542296.88</v>
      </c>
    </row>
    <row r="244" spans="1:29" x14ac:dyDescent="0.25">
      <c r="A244" s="298">
        <f>SUBTOTAL(3,B$3:B244)</f>
        <v>0</v>
      </c>
      <c r="B244" s="299">
        <f>SUBTOTAL(3,C$3:C244)</f>
        <v>242</v>
      </c>
      <c r="C244" s="83" t="s">
        <v>93</v>
      </c>
      <c r="D244" s="303" t="s">
        <v>453</v>
      </c>
      <c r="E244" s="49" t="s">
        <v>7</v>
      </c>
      <c r="F244" s="305" t="s">
        <v>716</v>
      </c>
      <c r="G244" s="307">
        <v>46147</v>
      </c>
      <c r="H244" s="34" t="s">
        <v>6</v>
      </c>
      <c r="I244" s="309">
        <v>1453331.66</v>
      </c>
      <c r="J244" s="331" cm="1">
        <f t="array" ref="J244">_xlfn.IFS(D244="INDUSTOWER","40",D244="RELIANCEIN","44",D244="SIEMENSLTD","120",D244="CLEANMAX","40",D244="AVAADA","40",D244="ARCHTECH","40")+G244</f>
        <v>46187</v>
      </c>
      <c r="K244" s="268">
        <f t="shared" ca="1" si="67"/>
        <v>46148</v>
      </c>
      <c r="L244" s="310">
        <f t="shared" si="92"/>
        <v>46207</v>
      </c>
      <c r="M244" s="301" t="s">
        <v>740</v>
      </c>
      <c r="N244" s="312">
        <f t="shared" si="93"/>
        <v>46147</v>
      </c>
      <c r="O244" s="313"/>
      <c r="P244" s="314"/>
      <c r="Q244" s="270" t="s">
        <v>460</v>
      </c>
      <c r="R244" s="315">
        <f t="shared" si="94"/>
        <v>1307998.4939999999</v>
      </c>
      <c r="S244" s="360"/>
      <c r="T244" s="316">
        <f t="shared" ca="1" si="95"/>
        <v>59</v>
      </c>
      <c r="U244" s="318">
        <f t="shared" ca="1" si="96"/>
        <v>0</v>
      </c>
      <c r="V244" s="318">
        <f t="shared" ca="1" si="97"/>
        <v>1307998.4939999999</v>
      </c>
      <c r="W244" s="319"/>
      <c r="X244" s="320"/>
      <c r="Y244" s="321"/>
      <c r="Z244" s="321"/>
      <c r="AA244" s="322"/>
      <c r="AB244" s="323"/>
      <c r="AC244" s="361" t="e" cm="1">
        <f t="array" ref="AC244">_xlfn.IFS(D244="INDUSTOWER","275000000",D244="RELIANCEIN","220000000",D244="SIEMENSLTD","83330000")-I244</f>
        <v>#N/A</v>
      </c>
    </row>
    <row r="245" spans="1:29" x14ac:dyDescent="0.25">
      <c r="A245" s="298">
        <f>SUBTOTAL(3,B$3:B245)</f>
        <v>0</v>
      </c>
      <c r="B245" s="299">
        <f>SUBTOTAL(3,C$3:C245)</f>
        <v>243</v>
      </c>
      <c r="C245" s="83" t="s">
        <v>93</v>
      </c>
      <c r="D245" s="303" t="s">
        <v>27</v>
      </c>
      <c r="E245" s="49" t="s">
        <v>7</v>
      </c>
      <c r="F245" s="305" t="s">
        <v>717</v>
      </c>
      <c r="G245" s="307">
        <v>46147</v>
      </c>
      <c r="H245" s="34" t="s">
        <v>6</v>
      </c>
      <c r="I245" s="309">
        <v>574467.66</v>
      </c>
      <c r="J245" s="331" cm="1">
        <f t="array" ref="J245">_xlfn.IFS(D245="INDUSTOWER","40",D245="RELIANCEIN","44",D245="SIEMENSLTD","120",D245="CLEANMAX","40",D245="AVAADA","40",D245="ARCHTECH","40")+G245</f>
        <v>46187</v>
      </c>
      <c r="K245" s="268">
        <f t="shared" ca="1" si="67"/>
        <v>46148</v>
      </c>
      <c r="L245" s="310">
        <f t="shared" si="92"/>
        <v>46207</v>
      </c>
      <c r="M245" s="301" t="s">
        <v>741</v>
      </c>
      <c r="N245" s="312">
        <f t="shared" si="93"/>
        <v>46147</v>
      </c>
      <c r="O245" s="313"/>
      <c r="P245" s="314"/>
      <c r="Q245" s="270" t="s">
        <v>76</v>
      </c>
      <c r="R245" s="315">
        <f t="shared" si="94"/>
        <v>517020.89400000003</v>
      </c>
      <c r="S245" s="360"/>
      <c r="T245" s="316">
        <f t="shared" ca="1" si="95"/>
        <v>59</v>
      </c>
      <c r="U245" s="318">
        <f t="shared" ca="1" si="96"/>
        <v>0</v>
      </c>
      <c r="V245" s="318">
        <f t="shared" ca="1" si="97"/>
        <v>517020.89400000003</v>
      </c>
      <c r="W245" s="319"/>
      <c r="X245" s="320"/>
      <c r="Y245" s="321"/>
      <c r="Z245" s="321"/>
      <c r="AA245" s="322"/>
      <c r="AB245" s="323"/>
      <c r="AC245" s="361" cm="1">
        <f t="array" ref="AC245">_xlfn.IFS(D245="INDUSTOWER","275000000",D245="RELIANCEIN","220000000",D245="SIEMENSLTD","83330000")-I245</f>
        <v>274425532.33999997</v>
      </c>
    </row>
    <row r="246" spans="1:29" x14ac:dyDescent="0.25">
      <c r="A246" s="298">
        <f>SUBTOTAL(3,B$3:B246)</f>
        <v>0</v>
      </c>
      <c r="B246" s="299">
        <f>SUBTOTAL(3,C$3:C246)</f>
        <v>244</v>
      </c>
      <c r="C246" s="83" t="s">
        <v>93</v>
      </c>
      <c r="D246" s="303" t="s">
        <v>27</v>
      </c>
      <c r="E246" s="49" t="s">
        <v>7</v>
      </c>
      <c r="F246" s="305" t="s">
        <v>718</v>
      </c>
      <c r="G246" s="307">
        <v>46147</v>
      </c>
      <c r="H246" s="34" t="s">
        <v>6</v>
      </c>
      <c r="I246" s="309">
        <v>506008.78</v>
      </c>
      <c r="J246" s="331" cm="1">
        <f t="array" ref="J246">_xlfn.IFS(D246="INDUSTOWER","40",D246="RELIANCEIN","44",D246="SIEMENSLTD","120",D246="CLEANMAX","40",D246="AVAADA","40",D246="ARCHTECH","40")+G246</f>
        <v>46187</v>
      </c>
      <c r="K246" s="268">
        <f t="shared" ref="K246:K259" ca="1" si="98">TODAY()</f>
        <v>46148</v>
      </c>
      <c r="L246" s="310">
        <f t="shared" si="92"/>
        <v>46207</v>
      </c>
      <c r="M246" s="301" t="s">
        <v>742</v>
      </c>
      <c r="N246" s="312">
        <f t="shared" si="93"/>
        <v>46147</v>
      </c>
      <c r="O246" s="313"/>
      <c r="P246" s="314"/>
      <c r="Q246" s="270" t="s">
        <v>29</v>
      </c>
      <c r="R246" s="315">
        <f t="shared" si="94"/>
        <v>455407.90200000006</v>
      </c>
      <c r="S246" s="360"/>
      <c r="T246" s="316">
        <f t="shared" ca="1" si="95"/>
        <v>59</v>
      </c>
      <c r="U246" s="318">
        <f t="shared" ca="1" si="96"/>
        <v>0</v>
      </c>
      <c r="V246" s="318">
        <f t="shared" ca="1" si="97"/>
        <v>455407.90200000006</v>
      </c>
      <c r="W246" s="319"/>
      <c r="X246" s="320"/>
      <c r="Y246" s="321"/>
      <c r="Z246" s="321"/>
      <c r="AA246" s="322"/>
      <c r="AB246" s="323"/>
      <c r="AC246" s="361" cm="1">
        <f t="array" ref="AC246">_xlfn.IFS(D246="INDUSTOWER","275000000",D246="RELIANCEIN","220000000",D246="SIEMENSLTD","83330000")-I246</f>
        <v>274493991.22000003</v>
      </c>
    </row>
    <row r="247" spans="1:29" x14ac:dyDescent="0.25">
      <c r="A247" s="298">
        <f>SUBTOTAL(3,B$3:B247)</f>
        <v>0</v>
      </c>
      <c r="B247" s="299">
        <f>SUBTOTAL(3,C$3:C247)</f>
        <v>245</v>
      </c>
      <c r="C247" s="83" t="s">
        <v>93</v>
      </c>
      <c r="D247" s="303" t="s">
        <v>27</v>
      </c>
      <c r="E247" s="49" t="s">
        <v>7</v>
      </c>
      <c r="F247" s="305" t="s">
        <v>719</v>
      </c>
      <c r="G247" s="307">
        <v>46147</v>
      </c>
      <c r="H247" s="34" t="s">
        <v>6</v>
      </c>
      <c r="I247" s="309">
        <v>94808.28</v>
      </c>
      <c r="J247" s="331" cm="1">
        <f t="array" ref="J247">_xlfn.IFS(D247="INDUSTOWER","40",D247="RELIANCEIN","44",D247="SIEMENSLTD","120",D247="CLEANMAX","40",D247="AVAADA","40",D247="ARCHTECH","40")+G247</f>
        <v>46187</v>
      </c>
      <c r="K247" s="268">
        <f t="shared" ca="1" si="98"/>
        <v>46148</v>
      </c>
      <c r="L247" s="310">
        <f t="shared" si="92"/>
        <v>46207</v>
      </c>
      <c r="M247" s="301" t="s">
        <v>743</v>
      </c>
      <c r="N247" s="312">
        <f t="shared" si="93"/>
        <v>46147</v>
      </c>
      <c r="O247" s="313"/>
      <c r="P247" s="314"/>
      <c r="Q247" s="270" t="s">
        <v>587</v>
      </c>
      <c r="R247" s="315">
        <f t="shared" si="94"/>
        <v>85327.452000000005</v>
      </c>
      <c r="S247" s="360"/>
      <c r="T247" s="316">
        <f t="shared" ca="1" si="95"/>
        <v>59</v>
      </c>
      <c r="U247" s="318">
        <f t="shared" ca="1" si="96"/>
        <v>0</v>
      </c>
      <c r="V247" s="318">
        <f t="shared" ca="1" si="97"/>
        <v>85327.452000000005</v>
      </c>
      <c r="W247" s="319"/>
      <c r="X247" s="320"/>
      <c r="Y247" s="321"/>
      <c r="Z247" s="321"/>
      <c r="AA247" s="322"/>
      <c r="AB247" s="323"/>
      <c r="AC247" s="361" cm="1">
        <f t="array" ref="AC247">_xlfn.IFS(D247="INDUSTOWER","275000000",D247="RELIANCEIN","220000000",D247="SIEMENSLTD","83330000")-I247</f>
        <v>274905191.72000003</v>
      </c>
    </row>
    <row r="248" spans="1:29" x14ac:dyDescent="0.25">
      <c r="A248" s="298">
        <f>SUBTOTAL(3,B$3:B248)</f>
        <v>0</v>
      </c>
      <c r="B248" s="299">
        <f>SUBTOTAL(3,C$3:C248)</f>
        <v>246</v>
      </c>
      <c r="C248" s="83" t="s">
        <v>93</v>
      </c>
      <c r="D248" s="303" t="s">
        <v>27</v>
      </c>
      <c r="E248" s="49" t="s">
        <v>7</v>
      </c>
      <c r="F248" s="305" t="s">
        <v>720</v>
      </c>
      <c r="G248" s="307">
        <v>46147</v>
      </c>
      <c r="H248" s="34" t="s">
        <v>6</v>
      </c>
      <c r="I248" s="309">
        <v>506008.78</v>
      </c>
      <c r="J248" s="331" cm="1">
        <f t="array" ref="J248">_xlfn.IFS(D248="INDUSTOWER","40",D248="RELIANCEIN","44",D248="SIEMENSLTD","120",D248="CLEANMAX","40",D248="AVAADA","40",D248="ARCHTECH","40")+G248</f>
        <v>46187</v>
      </c>
      <c r="K248" s="268">
        <f t="shared" ca="1" si="98"/>
        <v>46148</v>
      </c>
      <c r="L248" s="310">
        <f t="shared" si="92"/>
        <v>46207</v>
      </c>
      <c r="M248" s="301" t="s">
        <v>744</v>
      </c>
      <c r="N248" s="312">
        <f t="shared" si="93"/>
        <v>46147</v>
      </c>
      <c r="O248" s="313"/>
      <c r="P248" s="314"/>
      <c r="Q248" s="270" t="s">
        <v>29</v>
      </c>
      <c r="R248" s="315">
        <f t="shared" si="94"/>
        <v>455407.90200000006</v>
      </c>
      <c r="S248" s="360"/>
      <c r="T248" s="316">
        <f t="shared" ca="1" si="95"/>
        <v>59</v>
      </c>
      <c r="U248" s="318">
        <f t="shared" ca="1" si="96"/>
        <v>0</v>
      </c>
      <c r="V248" s="318">
        <f t="shared" ca="1" si="97"/>
        <v>455407.90200000006</v>
      </c>
      <c r="W248" s="319"/>
      <c r="X248" s="320"/>
      <c r="Y248" s="321"/>
      <c r="Z248" s="321"/>
      <c r="AA248" s="322"/>
      <c r="AB248" s="323"/>
      <c r="AC248" s="361" cm="1">
        <f t="array" ref="AC248">_xlfn.IFS(D248="INDUSTOWER","275000000",D248="RELIANCEIN","220000000",D248="SIEMENSLTD","83330000")-I248</f>
        <v>274493991.22000003</v>
      </c>
    </row>
    <row r="249" spans="1:29" x14ac:dyDescent="0.25">
      <c r="A249" s="298">
        <f>SUBTOTAL(3,B$3:B249)</f>
        <v>0</v>
      </c>
      <c r="B249" s="299">
        <f>SUBTOTAL(3,C$3:C249)</f>
        <v>247</v>
      </c>
      <c r="C249" s="83" t="s">
        <v>93</v>
      </c>
      <c r="D249" s="303" t="s">
        <v>27</v>
      </c>
      <c r="E249" s="49" t="s">
        <v>7</v>
      </c>
      <c r="F249" s="305" t="s">
        <v>721</v>
      </c>
      <c r="G249" s="307">
        <v>46147</v>
      </c>
      <c r="H249" s="34" t="s">
        <v>6</v>
      </c>
      <c r="I249" s="309">
        <v>94808.28</v>
      </c>
      <c r="J249" s="331" cm="1">
        <f t="array" ref="J249">_xlfn.IFS(D249="INDUSTOWER","40",D249="RELIANCEIN","44",D249="SIEMENSLTD","120",D249="CLEANMAX","40",D249="AVAADA","40",D249="ARCHTECH","40")+G249</f>
        <v>46187</v>
      </c>
      <c r="K249" s="268">
        <f t="shared" ca="1" si="98"/>
        <v>46148</v>
      </c>
      <c r="L249" s="310">
        <f t="shared" si="92"/>
        <v>46207</v>
      </c>
      <c r="M249" s="301" t="s">
        <v>745</v>
      </c>
      <c r="N249" s="312">
        <f t="shared" si="93"/>
        <v>46147</v>
      </c>
      <c r="O249" s="313"/>
      <c r="P249" s="314"/>
      <c r="Q249" s="270" t="s">
        <v>587</v>
      </c>
      <c r="R249" s="315">
        <f t="shared" si="94"/>
        <v>85327.452000000005</v>
      </c>
      <c r="S249" s="360"/>
      <c r="T249" s="316">
        <f t="shared" ca="1" si="95"/>
        <v>59</v>
      </c>
      <c r="U249" s="318">
        <f t="shared" ca="1" si="96"/>
        <v>0</v>
      </c>
      <c r="V249" s="318">
        <f t="shared" ca="1" si="97"/>
        <v>85327.452000000005</v>
      </c>
      <c r="W249" s="319"/>
      <c r="X249" s="320"/>
      <c r="Y249" s="321"/>
      <c r="Z249" s="321"/>
      <c r="AA249" s="322"/>
      <c r="AB249" s="323"/>
      <c r="AC249" s="361" cm="1">
        <f t="array" ref="AC249">_xlfn.IFS(D249="INDUSTOWER","275000000",D249="RELIANCEIN","220000000",D249="SIEMENSLTD","83330000")-I249</f>
        <v>274905191.72000003</v>
      </c>
    </row>
    <row r="250" spans="1:29" x14ac:dyDescent="0.25">
      <c r="A250" s="298">
        <f>SUBTOTAL(3,B$3:B250)</f>
        <v>0</v>
      </c>
      <c r="B250" s="299">
        <f>SUBTOTAL(3,C$3:C250)</f>
        <v>248</v>
      </c>
      <c r="C250" s="83" t="s">
        <v>93</v>
      </c>
      <c r="D250" s="303" t="s">
        <v>27</v>
      </c>
      <c r="E250" s="49" t="s">
        <v>7</v>
      </c>
      <c r="F250" s="305" t="s">
        <v>722</v>
      </c>
      <c r="G250" s="307">
        <v>46147</v>
      </c>
      <c r="H250" s="34" t="s">
        <v>6</v>
      </c>
      <c r="I250" s="309">
        <v>506008.78</v>
      </c>
      <c r="J250" s="331" cm="1">
        <f t="array" ref="J250">_xlfn.IFS(D250="INDUSTOWER","40",D250="RELIANCEIN","44",D250="SIEMENSLTD","120",D250="CLEANMAX","40",D250="AVAADA","40",D250="ARCHTECH","40")+G250</f>
        <v>46187</v>
      </c>
      <c r="K250" s="268">
        <f t="shared" ca="1" si="98"/>
        <v>46148</v>
      </c>
      <c r="L250" s="310">
        <f t="shared" si="92"/>
        <v>46207</v>
      </c>
      <c r="M250" s="301" t="s">
        <v>746</v>
      </c>
      <c r="N250" s="312">
        <f t="shared" si="93"/>
        <v>46147</v>
      </c>
      <c r="O250" s="313"/>
      <c r="P250" s="314"/>
      <c r="Q250" s="270" t="s">
        <v>29</v>
      </c>
      <c r="R250" s="315">
        <f t="shared" si="94"/>
        <v>455407.90200000006</v>
      </c>
      <c r="S250" s="360"/>
      <c r="T250" s="316">
        <f t="shared" ca="1" si="95"/>
        <v>59</v>
      </c>
      <c r="U250" s="318">
        <f t="shared" ca="1" si="96"/>
        <v>0</v>
      </c>
      <c r="V250" s="318">
        <f t="shared" ca="1" si="97"/>
        <v>455407.90200000006</v>
      </c>
      <c r="W250" s="319"/>
      <c r="X250" s="320"/>
      <c r="Y250" s="321"/>
      <c r="Z250" s="321"/>
      <c r="AA250" s="322"/>
      <c r="AB250" s="323"/>
      <c r="AC250" s="361" cm="1">
        <f t="array" ref="AC250">_xlfn.IFS(D250="INDUSTOWER","275000000",D250="RELIANCEIN","220000000",D250="SIEMENSLTD","83330000")-I250</f>
        <v>274493991.22000003</v>
      </c>
    </row>
    <row r="251" spans="1:29" x14ac:dyDescent="0.25">
      <c r="A251" s="298">
        <f>SUBTOTAL(3,B$3:B251)</f>
        <v>0</v>
      </c>
      <c r="B251" s="299">
        <f>SUBTOTAL(3,C$3:C251)</f>
        <v>249</v>
      </c>
      <c r="C251" s="83" t="s">
        <v>93</v>
      </c>
      <c r="D251" s="303" t="s">
        <v>27</v>
      </c>
      <c r="E251" s="49" t="s">
        <v>7</v>
      </c>
      <c r="F251" s="305" t="s">
        <v>723</v>
      </c>
      <c r="G251" s="307">
        <v>46147</v>
      </c>
      <c r="H251" s="34" t="s">
        <v>6</v>
      </c>
      <c r="I251" s="309">
        <v>94808.28</v>
      </c>
      <c r="J251" s="331" cm="1">
        <f t="array" ref="J251">_xlfn.IFS(D251="INDUSTOWER","40",D251="RELIANCEIN","44",D251="SIEMENSLTD","120",D251="CLEANMAX","40",D251="AVAADA","40",D251="ARCHTECH","40")+G251</f>
        <v>46187</v>
      </c>
      <c r="K251" s="268">
        <f t="shared" ca="1" si="98"/>
        <v>46148</v>
      </c>
      <c r="L251" s="310">
        <f t="shared" si="92"/>
        <v>46207</v>
      </c>
      <c r="M251" s="301" t="s">
        <v>747</v>
      </c>
      <c r="N251" s="312">
        <f t="shared" si="93"/>
        <v>46147</v>
      </c>
      <c r="O251" s="313"/>
      <c r="P251" s="314"/>
      <c r="Q251" s="270" t="s">
        <v>587</v>
      </c>
      <c r="R251" s="315">
        <f t="shared" si="94"/>
        <v>85327.452000000005</v>
      </c>
      <c r="S251" s="360"/>
      <c r="T251" s="316">
        <f t="shared" ca="1" si="95"/>
        <v>59</v>
      </c>
      <c r="U251" s="318">
        <f t="shared" ca="1" si="96"/>
        <v>0</v>
      </c>
      <c r="V251" s="318">
        <f t="shared" ca="1" si="97"/>
        <v>85327.452000000005</v>
      </c>
      <c r="W251" s="319"/>
      <c r="X251" s="320"/>
      <c r="Y251" s="321"/>
      <c r="Z251" s="321"/>
      <c r="AA251" s="322"/>
      <c r="AB251" s="323"/>
      <c r="AC251" s="361" cm="1">
        <f t="array" ref="AC251">_xlfn.IFS(D251="INDUSTOWER","275000000",D251="RELIANCEIN","220000000",D251="SIEMENSLTD","83330000")-I251</f>
        <v>274905191.72000003</v>
      </c>
    </row>
    <row r="252" spans="1:29" x14ac:dyDescent="0.25">
      <c r="A252" s="298">
        <f>SUBTOTAL(3,B$3:B252)</f>
        <v>0</v>
      </c>
      <c r="B252" s="299">
        <f>SUBTOTAL(3,C$3:C252)</f>
        <v>250</v>
      </c>
      <c r="C252" s="83" t="s">
        <v>93</v>
      </c>
      <c r="D252" s="303" t="s">
        <v>27</v>
      </c>
      <c r="E252" s="49" t="s">
        <v>7</v>
      </c>
      <c r="F252" s="305" t="s">
        <v>724</v>
      </c>
      <c r="G252" s="307">
        <v>46147</v>
      </c>
      <c r="H252" s="34" t="s">
        <v>6</v>
      </c>
      <c r="I252" s="309">
        <v>94808.28</v>
      </c>
      <c r="J252" s="331" cm="1">
        <f t="array" ref="J252">_xlfn.IFS(D252="INDUSTOWER","40",D252="RELIANCEIN","44",D252="SIEMENSLTD","120",D252="CLEANMAX","40",D252="AVAADA","40",D252="ARCHTECH","40")+G252</f>
        <v>46187</v>
      </c>
      <c r="K252" s="268">
        <f t="shared" ca="1" si="98"/>
        <v>46148</v>
      </c>
      <c r="L252" s="310">
        <f t="shared" si="92"/>
        <v>46207</v>
      </c>
      <c r="M252" s="301" t="s">
        <v>748</v>
      </c>
      <c r="N252" s="312">
        <f t="shared" si="93"/>
        <v>46147</v>
      </c>
      <c r="O252" s="313"/>
      <c r="P252" s="314"/>
      <c r="Q252" s="270" t="s">
        <v>587</v>
      </c>
      <c r="R252" s="315">
        <f t="shared" si="94"/>
        <v>85327.452000000005</v>
      </c>
      <c r="S252" s="360"/>
      <c r="T252" s="316">
        <f t="shared" ca="1" si="95"/>
        <v>59</v>
      </c>
      <c r="U252" s="318">
        <f t="shared" ca="1" si="96"/>
        <v>0</v>
      </c>
      <c r="V252" s="318">
        <f t="shared" ca="1" si="97"/>
        <v>85327.452000000005</v>
      </c>
      <c r="W252" s="319"/>
      <c r="X252" s="320"/>
      <c r="Y252" s="321"/>
      <c r="Z252" s="321"/>
      <c r="AA252" s="322"/>
      <c r="AB252" s="323"/>
      <c r="AC252" s="361" cm="1">
        <f t="array" ref="AC252">_xlfn.IFS(D252="INDUSTOWER","275000000",D252="RELIANCEIN","220000000",D252="SIEMENSLTD","83330000")-I252</f>
        <v>274905191.72000003</v>
      </c>
    </row>
    <row r="253" spans="1:29" x14ac:dyDescent="0.25">
      <c r="A253" s="298">
        <f>SUBTOTAL(3,B$3:B253)</f>
        <v>0</v>
      </c>
      <c r="B253" s="299">
        <f>SUBTOTAL(3,C$3:C253)</f>
        <v>251</v>
      </c>
      <c r="C253" s="83" t="s">
        <v>93</v>
      </c>
      <c r="D253" s="303" t="s">
        <v>27</v>
      </c>
      <c r="E253" s="49" t="s">
        <v>7</v>
      </c>
      <c r="F253" s="305" t="s">
        <v>725</v>
      </c>
      <c r="G253" s="307">
        <v>46147</v>
      </c>
      <c r="H253" s="34" t="s">
        <v>6</v>
      </c>
      <c r="I253" s="309">
        <v>506008.78</v>
      </c>
      <c r="J253" s="331" cm="1">
        <f t="array" ref="J253">_xlfn.IFS(D253="INDUSTOWER","40",D253="RELIANCEIN","44",D253="SIEMENSLTD","120",D253="CLEANMAX","40",D253="AVAADA","40",D253="ARCHTECH","40")+G253</f>
        <v>46187</v>
      </c>
      <c r="K253" s="268">
        <f t="shared" ca="1" si="98"/>
        <v>46148</v>
      </c>
      <c r="L253" s="310">
        <f t="shared" si="92"/>
        <v>46207</v>
      </c>
      <c r="M253" s="301" t="s">
        <v>749</v>
      </c>
      <c r="N253" s="312">
        <f t="shared" si="93"/>
        <v>46147</v>
      </c>
      <c r="O253" s="313"/>
      <c r="P253" s="314"/>
      <c r="Q253" s="270" t="s">
        <v>29</v>
      </c>
      <c r="R253" s="315">
        <f t="shared" si="94"/>
        <v>455407.90200000006</v>
      </c>
      <c r="S253" s="360"/>
      <c r="T253" s="316">
        <f t="shared" ca="1" si="95"/>
        <v>59</v>
      </c>
      <c r="U253" s="318">
        <f t="shared" ca="1" si="96"/>
        <v>0</v>
      </c>
      <c r="V253" s="318">
        <f t="shared" ca="1" si="97"/>
        <v>455407.90200000006</v>
      </c>
      <c r="W253" s="319"/>
      <c r="X253" s="320"/>
      <c r="Y253" s="321"/>
      <c r="Z253" s="321"/>
      <c r="AA253" s="322"/>
      <c r="AB253" s="323"/>
      <c r="AC253" s="361" cm="1">
        <f t="array" ref="AC253">_xlfn.IFS(D253="INDUSTOWER","275000000",D253="RELIANCEIN","220000000",D253="SIEMENSLTD","83330000")-I253</f>
        <v>274493991.22000003</v>
      </c>
    </row>
    <row r="254" spans="1:29" x14ac:dyDescent="0.25">
      <c r="A254" s="298">
        <f>SUBTOTAL(3,B$3:B254)</f>
        <v>0</v>
      </c>
      <c r="B254" s="299">
        <f>SUBTOTAL(3,C$3:C254)</f>
        <v>252</v>
      </c>
      <c r="C254" s="83" t="s">
        <v>93</v>
      </c>
      <c r="D254" s="303" t="s">
        <v>27</v>
      </c>
      <c r="E254" s="49" t="s">
        <v>7</v>
      </c>
      <c r="F254" s="305" t="s">
        <v>726</v>
      </c>
      <c r="G254" s="307">
        <v>46147</v>
      </c>
      <c r="H254" s="34" t="s">
        <v>6</v>
      </c>
      <c r="I254" s="309">
        <v>94808.28</v>
      </c>
      <c r="J254" s="331" cm="1">
        <f t="array" ref="J254">_xlfn.IFS(D254="INDUSTOWER","40",D254="RELIANCEIN","44",D254="SIEMENSLTD","120",D254="CLEANMAX","40",D254="AVAADA","40",D254="ARCHTECH","40")+G254</f>
        <v>46187</v>
      </c>
      <c r="K254" s="268">
        <f t="shared" ca="1" si="98"/>
        <v>46148</v>
      </c>
      <c r="L254" s="310">
        <f t="shared" si="92"/>
        <v>46207</v>
      </c>
      <c r="M254" s="301" t="s">
        <v>750</v>
      </c>
      <c r="N254" s="312">
        <f t="shared" si="93"/>
        <v>46147</v>
      </c>
      <c r="O254" s="313"/>
      <c r="P254" s="314"/>
      <c r="Q254" s="270" t="s">
        <v>587</v>
      </c>
      <c r="R254" s="315">
        <f t="shared" si="94"/>
        <v>85327.452000000005</v>
      </c>
      <c r="S254" s="360"/>
      <c r="T254" s="316">
        <f t="shared" ca="1" si="95"/>
        <v>59</v>
      </c>
      <c r="U254" s="318">
        <f t="shared" ca="1" si="96"/>
        <v>0</v>
      </c>
      <c r="V254" s="318">
        <f t="shared" ca="1" si="97"/>
        <v>85327.452000000005</v>
      </c>
      <c r="W254" s="319"/>
      <c r="X254" s="320"/>
      <c r="Y254" s="321"/>
      <c r="Z254" s="321"/>
      <c r="AA254" s="322"/>
      <c r="AB254" s="323"/>
      <c r="AC254" s="361" cm="1">
        <f t="array" ref="AC254">_xlfn.IFS(D254="INDUSTOWER","275000000",D254="RELIANCEIN","220000000",D254="SIEMENSLTD","83330000")-I254</f>
        <v>274905191.72000003</v>
      </c>
    </row>
    <row r="255" spans="1:29" x14ac:dyDescent="0.25">
      <c r="A255" s="298">
        <f>SUBTOTAL(3,B$3:B255)</f>
        <v>0</v>
      </c>
      <c r="B255" s="299">
        <f>SUBTOTAL(3,C$3:C255)</f>
        <v>253</v>
      </c>
      <c r="C255" s="83" t="s">
        <v>93</v>
      </c>
      <c r="D255" s="303" t="s">
        <v>27</v>
      </c>
      <c r="E255" s="49" t="s">
        <v>7</v>
      </c>
      <c r="F255" s="305" t="s">
        <v>727</v>
      </c>
      <c r="G255" s="307">
        <v>46147</v>
      </c>
      <c r="H255" s="34" t="s">
        <v>6</v>
      </c>
      <c r="I255" s="309">
        <v>506008.78</v>
      </c>
      <c r="J255" s="331" cm="1">
        <f t="array" ref="J255">_xlfn.IFS(D255="INDUSTOWER","40",D255="RELIANCEIN","44",D255="SIEMENSLTD","120",D255="CLEANMAX","40",D255="AVAADA","40",D255="ARCHTECH","40")+G255</f>
        <v>46187</v>
      </c>
      <c r="K255" s="268">
        <f t="shared" ca="1" si="98"/>
        <v>46148</v>
      </c>
      <c r="L255" s="310">
        <f t="shared" si="92"/>
        <v>46207</v>
      </c>
      <c r="M255" s="301" t="s">
        <v>751</v>
      </c>
      <c r="N255" s="312">
        <f t="shared" si="93"/>
        <v>46147</v>
      </c>
      <c r="O255" s="313"/>
      <c r="P255" s="314"/>
      <c r="Q255" s="270" t="s">
        <v>29</v>
      </c>
      <c r="R255" s="315">
        <f t="shared" si="94"/>
        <v>455407.90200000006</v>
      </c>
      <c r="S255" s="360"/>
      <c r="T255" s="316">
        <f t="shared" ca="1" si="95"/>
        <v>59</v>
      </c>
      <c r="U255" s="318">
        <f t="shared" ca="1" si="96"/>
        <v>0</v>
      </c>
      <c r="V255" s="318">
        <f t="shared" ca="1" si="97"/>
        <v>455407.90200000006</v>
      </c>
      <c r="W255" s="319"/>
      <c r="X255" s="320"/>
      <c r="Y255" s="321"/>
      <c r="Z255" s="321"/>
      <c r="AA255" s="322"/>
      <c r="AB255" s="323"/>
      <c r="AC255" s="361" cm="1">
        <f t="array" ref="AC255">_xlfn.IFS(D255="INDUSTOWER","275000000",D255="RELIANCEIN","220000000",D255="SIEMENSLTD","83330000")-I255</f>
        <v>274493991.22000003</v>
      </c>
    </row>
    <row r="256" spans="1:29" x14ac:dyDescent="0.25">
      <c r="A256" s="298">
        <f>SUBTOTAL(3,B$3:B256)</f>
        <v>0</v>
      </c>
      <c r="B256" s="299">
        <f>SUBTOTAL(3,C$3:C256)</f>
        <v>254</v>
      </c>
      <c r="C256" s="83" t="s">
        <v>93</v>
      </c>
      <c r="D256" s="303" t="s">
        <v>27</v>
      </c>
      <c r="E256" s="49" t="s">
        <v>7</v>
      </c>
      <c r="F256" s="305" t="s">
        <v>728</v>
      </c>
      <c r="G256" s="307">
        <v>46147</v>
      </c>
      <c r="H256" s="34" t="s">
        <v>6</v>
      </c>
      <c r="I256" s="309">
        <v>94808.28</v>
      </c>
      <c r="J256" s="331" cm="1">
        <f t="array" ref="J256">_xlfn.IFS(D256="INDUSTOWER","40",D256="RELIANCEIN","44",D256="SIEMENSLTD","120",D256="CLEANMAX","40",D256="AVAADA","40",D256="ARCHTECH","40")+G256</f>
        <v>46187</v>
      </c>
      <c r="K256" s="268">
        <f t="shared" ca="1" si="98"/>
        <v>46148</v>
      </c>
      <c r="L256" s="310">
        <f t="shared" si="92"/>
        <v>46207</v>
      </c>
      <c r="M256" s="301" t="s">
        <v>752</v>
      </c>
      <c r="N256" s="312">
        <f t="shared" si="93"/>
        <v>46147</v>
      </c>
      <c r="O256" s="313"/>
      <c r="P256" s="314"/>
      <c r="Q256" s="270" t="s">
        <v>587</v>
      </c>
      <c r="R256" s="315">
        <f t="shared" si="94"/>
        <v>85327.452000000005</v>
      </c>
      <c r="S256" s="360"/>
      <c r="T256" s="316">
        <f t="shared" ca="1" si="95"/>
        <v>59</v>
      </c>
      <c r="U256" s="318">
        <f t="shared" ca="1" si="96"/>
        <v>0</v>
      </c>
      <c r="V256" s="318">
        <f t="shared" ca="1" si="97"/>
        <v>85327.452000000005</v>
      </c>
      <c r="W256" s="319"/>
      <c r="X256" s="320"/>
      <c r="Y256" s="321"/>
      <c r="Z256" s="321"/>
      <c r="AA256" s="322"/>
      <c r="AB256" s="323"/>
      <c r="AC256" s="361" cm="1">
        <f t="array" ref="AC256">_xlfn.IFS(D256="INDUSTOWER","275000000",D256="RELIANCEIN","220000000",D256="SIEMENSLTD","83330000")-I256</f>
        <v>274905191.72000003</v>
      </c>
    </row>
    <row r="257" spans="1:29" x14ac:dyDescent="0.25">
      <c r="A257" s="298">
        <f>SUBTOTAL(3,B$3:B257)</f>
        <v>0</v>
      </c>
      <c r="B257" s="299">
        <f>SUBTOTAL(3,C$3:C257)</f>
        <v>255</v>
      </c>
      <c r="C257" s="83" t="s">
        <v>93</v>
      </c>
      <c r="D257" s="303" t="s">
        <v>27</v>
      </c>
      <c r="E257" s="49" t="s">
        <v>7</v>
      </c>
      <c r="F257" s="305" t="s">
        <v>729</v>
      </c>
      <c r="G257" s="307">
        <v>46147</v>
      </c>
      <c r="H257" s="34" t="s">
        <v>6</v>
      </c>
      <c r="I257" s="309">
        <v>506008.78</v>
      </c>
      <c r="J257" s="331" cm="1">
        <f t="array" ref="J257">_xlfn.IFS(D257="INDUSTOWER","40",D257="RELIANCEIN","44",D257="SIEMENSLTD","120",D257="CLEANMAX","40",D257="AVAADA","40",D257="ARCHTECH","40")+G257</f>
        <v>46187</v>
      </c>
      <c r="K257" s="268">
        <f t="shared" ca="1" si="98"/>
        <v>46148</v>
      </c>
      <c r="L257" s="310">
        <f t="shared" si="92"/>
        <v>46207</v>
      </c>
      <c r="M257" s="301" t="s">
        <v>753</v>
      </c>
      <c r="N257" s="312">
        <f t="shared" si="93"/>
        <v>46147</v>
      </c>
      <c r="O257" s="313"/>
      <c r="P257" s="314"/>
      <c r="Q257" s="270" t="s">
        <v>29</v>
      </c>
      <c r="R257" s="315">
        <f t="shared" si="94"/>
        <v>455407.90200000006</v>
      </c>
      <c r="S257" s="360"/>
      <c r="T257" s="316">
        <f t="shared" ca="1" si="95"/>
        <v>59</v>
      </c>
      <c r="U257" s="318">
        <f t="shared" ca="1" si="96"/>
        <v>0</v>
      </c>
      <c r="V257" s="318">
        <f t="shared" ca="1" si="97"/>
        <v>455407.90200000006</v>
      </c>
      <c r="W257" s="319"/>
      <c r="X257" s="320"/>
      <c r="Y257" s="321"/>
      <c r="Z257" s="321"/>
      <c r="AA257" s="322"/>
      <c r="AB257" s="323"/>
      <c r="AC257" s="361" cm="1">
        <f t="array" ref="AC257">_xlfn.IFS(D257="INDUSTOWER","275000000",D257="RELIANCEIN","220000000",D257="SIEMENSLTD","83330000")-I257</f>
        <v>274493991.22000003</v>
      </c>
    </row>
    <row r="258" spans="1:29" x14ac:dyDescent="0.25">
      <c r="A258" s="298">
        <f>SUBTOTAL(3,B$3:B258)</f>
        <v>0</v>
      </c>
      <c r="B258" s="299">
        <f>SUBTOTAL(3,C$3:C258)</f>
        <v>256</v>
      </c>
      <c r="C258" s="83" t="s">
        <v>93</v>
      </c>
      <c r="D258" s="303" t="s">
        <v>453</v>
      </c>
      <c r="E258" s="49" t="s">
        <v>7</v>
      </c>
      <c r="F258" s="305" t="s">
        <v>730</v>
      </c>
      <c r="G258" s="307">
        <v>46147</v>
      </c>
      <c r="H258" s="34" t="s">
        <v>6</v>
      </c>
      <c r="I258" s="309">
        <v>3008022.37</v>
      </c>
      <c r="J258" s="331" cm="1">
        <f t="array" ref="J258">_xlfn.IFS(D258="INDUSTOWER","40",D258="RELIANCEIN","44",D258="SIEMENSLTD","120",D258="CLEANMAX","40",D258="AVAADA","40",D258="ARCHTECH","40")+G258</f>
        <v>46187</v>
      </c>
      <c r="K258" s="268">
        <f t="shared" ca="1" si="98"/>
        <v>46148</v>
      </c>
      <c r="L258" s="310">
        <f t="shared" si="92"/>
        <v>46207</v>
      </c>
      <c r="M258" s="301" t="s">
        <v>754</v>
      </c>
      <c r="N258" s="312">
        <f t="shared" si="93"/>
        <v>46147</v>
      </c>
      <c r="O258" s="313"/>
      <c r="P258" s="314"/>
      <c r="Q258" s="270" t="s">
        <v>461</v>
      </c>
      <c r="R258" s="315">
        <f t="shared" si="94"/>
        <v>2707220.1330000004</v>
      </c>
      <c r="S258" s="360"/>
      <c r="T258" s="316">
        <f t="shared" ca="1" si="95"/>
        <v>59</v>
      </c>
      <c r="U258" s="318">
        <f t="shared" ca="1" si="96"/>
        <v>0</v>
      </c>
      <c r="V258" s="318">
        <f t="shared" ca="1" si="97"/>
        <v>2707220.1330000004</v>
      </c>
      <c r="W258" s="319"/>
      <c r="X258" s="320"/>
      <c r="Y258" s="321"/>
      <c r="Z258" s="321"/>
      <c r="AA258" s="322"/>
      <c r="AB258" s="323"/>
      <c r="AC258" s="361" t="e" cm="1">
        <f t="array" ref="AC258">_xlfn.IFS(D258="INDUSTOWER","275000000",D258="RELIANCEIN","220000000",D258="SIEMENSLTD","83330000")-I258</f>
        <v>#N/A</v>
      </c>
    </row>
    <row r="259" spans="1:29" x14ac:dyDescent="0.25">
      <c r="A259" s="298">
        <f>SUBTOTAL(3,B$3:B259)</f>
        <v>0</v>
      </c>
      <c r="B259" s="324">
        <f>SUBTOTAL(3,C$3:C259)</f>
        <v>257</v>
      </c>
      <c r="C259" s="83" t="s">
        <v>93</v>
      </c>
      <c r="D259" s="303" t="s">
        <v>27</v>
      </c>
      <c r="E259" s="49" t="s">
        <v>7</v>
      </c>
      <c r="F259" s="305" t="s">
        <v>731</v>
      </c>
      <c r="G259" s="307">
        <v>46147</v>
      </c>
      <c r="H259" s="34" t="s">
        <v>6</v>
      </c>
      <c r="I259" s="309">
        <v>642718.86</v>
      </c>
      <c r="J259" s="331" cm="1">
        <f t="array" ref="J259">_xlfn.IFS(D259="INDUSTOWER","40",D259="RELIANCEIN","44",D259="SIEMENSLTD","120",D259="CLEANMAX","40",D259="AVAADA","40",D259="ARCHTECH","40")+G259</f>
        <v>46187</v>
      </c>
      <c r="K259" s="268">
        <f t="shared" ca="1" si="98"/>
        <v>46148</v>
      </c>
      <c r="L259" s="310">
        <f t="shared" si="92"/>
        <v>46207</v>
      </c>
      <c r="M259" s="301" t="s">
        <v>755</v>
      </c>
      <c r="N259" s="312">
        <f t="shared" si="93"/>
        <v>46147</v>
      </c>
      <c r="O259" s="311"/>
      <c r="P259" s="325"/>
      <c r="Q259" s="270" t="s">
        <v>31</v>
      </c>
      <c r="R259" s="315">
        <f t="shared" si="94"/>
        <v>578446.97400000005</v>
      </c>
      <c r="S259" s="360"/>
      <c r="T259" s="316">
        <f t="shared" ca="1" si="95"/>
        <v>59</v>
      </c>
      <c r="U259" s="318">
        <f t="shared" ca="1" si="96"/>
        <v>0</v>
      </c>
      <c r="V259" s="318">
        <f t="shared" ca="1" si="97"/>
        <v>578446.97400000005</v>
      </c>
      <c r="W259" s="326"/>
      <c r="X259" s="300"/>
      <c r="Y259" s="327"/>
      <c r="Z259" s="327"/>
      <c r="AA259" s="328"/>
      <c r="AB259" s="329"/>
      <c r="AC259" s="361" cm="1">
        <f t="array" ref="AC259">_xlfn.IFS(D259="INDUSTOWER","275000000",D259="RELIANCEIN","220000000",D259="SIEMENSLTD","83330000")-I259</f>
        <v>274357281.13999999</v>
      </c>
    </row>
  </sheetData>
  <protectedRanges>
    <protectedRange sqref="L118:M118 O118:P118 L125:Q125 L119:P122 Q118:R122 L123:R124 Q2:AC2 T3:U117 L126:R154 I118:K154 D118:D136 B260:V1048576 I155:R235 T118:V235 Y118:Z8295 AC118:AC1048576 B2:O2 B118:B259 F118:G259 D142:D259 I236:V259" name="Range1"/>
    <protectedRange sqref="V3:V117" name="Range1_1"/>
    <protectedRange sqref="H3:H259" name="Range1_7_1_2_1"/>
    <protectedRange sqref="Y3:AB3 Y6:AB117" name="Range1_2"/>
  </protectedRanges>
  <autoFilter ref="A1:W1" xr:uid="{970F4A25-841B-48E2-92F8-81C149D92043}"/>
  <dataConsolidate topLabels="1">
    <dataRefs count="1">
      <dataRef ref="P4108:Q4560" sheet="2024-25"/>
    </dataRefs>
  </dataConsolidate>
  <conditionalFormatting sqref="A1:XFD1048576">
    <cfRule type="expression" dxfId="26" priority="1">
      <formula>AND(ROW()=ROW(__FocusCell),COLUMN()&lt;&gt;COLUMN(__FocusCell))</formula>
    </cfRule>
    <cfRule type="expression" dxfId="25" priority="2">
      <formula>AND(COLUMN()=COLUMN(__FocusCell),ROW()&lt;&gt;ROW(__FocusCell))</formula>
    </cfRule>
  </conditionalFormatting>
  <conditionalFormatting sqref="M3:M27">
    <cfRule type="duplicateValues" dxfId="24" priority="19762"/>
  </conditionalFormatting>
  <conditionalFormatting sqref="M28:M76">
    <cfRule type="duplicateValues" dxfId="23" priority="20123"/>
  </conditionalFormatting>
  <conditionalFormatting sqref="F3:F27">
    <cfRule type="duplicateValues" dxfId="5" priority="20130"/>
    <cfRule type="duplicateValues" dxfId="4" priority="20131" stopIfTrue="1"/>
  </conditionalFormatting>
  <conditionalFormatting sqref="F28:F37">
    <cfRule type="duplicateValues" dxfId="3" priority="20132"/>
    <cfRule type="duplicateValues" dxfId="2" priority="20133" stopIfTrue="1"/>
  </conditionalFormatting>
  <conditionalFormatting sqref="F38:F76">
    <cfRule type="duplicateValues" dxfId="1" priority="20134"/>
    <cfRule type="duplicateValues" dxfId="0" priority="20135" stopIfTrue="1"/>
  </conditionalFormatting>
  <pageMargins left="0.7" right="0.7" top="0.75" bottom="0.75" header="0.3" footer="0.3"/>
  <pageSetup scale="78" orientation="landscape" r:id="rId1"/>
  <colBreaks count="1" manualBreakCount="1">
    <brk id="22"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5F9-98A8-42D8-981C-AA3AEA174FC6}">
  <sheetPr codeName="Sheet16">
    <pageSetUpPr fitToPage="1"/>
  </sheetPr>
  <dimension ref="A1:BE36"/>
  <sheetViews>
    <sheetView zoomScaleNormal="100" workbookViewId="0">
      <pane xSplit="5" ySplit="1" topLeftCell="F2" activePane="bottomRight" state="frozen"/>
      <selection pane="topRight" activeCell="F1" sqref="F1"/>
      <selection pane="bottomLeft" activeCell="A2" sqref="A2"/>
      <selection pane="bottomRight" activeCell="F39" sqref="F39"/>
    </sheetView>
  </sheetViews>
  <sheetFormatPr defaultRowHeight="15" x14ac:dyDescent="0.25"/>
  <cols>
    <col min="1" max="1" width="6.42578125" customWidth="1"/>
    <col min="2" max="2" width="16.7109375" bestFit="1" customWidth="1"/>
    <col min="3" max="3" width="11.140625" customWidth="1"/>
    <col min="4" max="4" width="12" customWidth="1"/>
    <col min="5" max="5" width="14.42578125" bestFit="1" customWidth="1"/>
    <col min="6" max="6" width="38.28515625" bestFit="1" customWidth="1"/>
    <col min="7" max="7" width="13.42578125" bestFit="1" customWidth="1"/>
    <col min="8" max="8" width="12.85546875" customWidth="1"/>
    <col min="9" max="9" width="25" customWidth="1"/>
    <col min="10" max="10" width="12.140625" customWidth="1"/>
    <col min="11" max="11" width="31" customWidth="1"/>
    <col min="12" max="12" width="21.5703125" customWidth="1"/>
    <col min="13" max="13" width="24.42578125" customWidth="1"/>
    <col min="14" max="14" width="30.42578125" customWidth="1"/>
    <col min="15" max="15" width="15.42578125" customWidth="1"/>
    <col min="16" max="16" width="10.7109375" customWidth="1"/>
    <col min="17" max="17" width="12.28515625" customWidth="1"/>
    <col min="18" max="18" width="21" bestFit="1" customWidth="1"/>
    <col min="19" max="19" width="12.140625" customWidth="1"/>
    <col min="20" max="20" width="20.140625" customWidth="1"/>
    <col min="21" max="21" width="15.42578125" customWidth="1"/>
    <col min="22" max="22" width="33.7109375" customWidth="1"/>
    <col min="23" max="23" width="33.140625" customWidth="1"/>
    <col min="24" max="24" width="24.140625" customWidth="1"/>
    <col min="25" max="25" width="10" customWidth="1"/>
    <col min="26" max="26" width="20.42578125" customWidth="1"/>
    <col min="27" max="27" width="20.5703125" customWidth="1"/>
    <col min="28" max="28" width="20" customWidth="1"/>
    <col min="29" max="29" width="20.85546875" customWidth="1"/>
    <col min="30" max="30" width="25.28515625" customWidth="1"/>
    <col min="31" max="31" width="20.28515625" customWidth="1"/>
    <col min="32" max="32" width="26" customWidth="1"/>
    <col min="33" max="33" width="29.140625" customWidth="1"/>
    <col min="34" max="34" width="32.7109375" customWidth="1"/>
    <col min="35" max="35" width="26.85546875" customWidth="1"/>
    <col min="36" max="36" width="17.28515625" bestFit="1" customWidth="1"/>
    <col min="37" max="37" width="21" customWidth="1"/>
    <col min="38" max="38" width="22.42578125" customWidth="1"/>
    <col min="39" max="39" width="37.7109375" customWidth="1"/>
    <col min="40" max="40" width="18.5703125" customWidth="1"/>
    <col min="41" max="41" width="18.7109375" customWidth="1"/>
    <col min="42" max="42" width="14.7109375" customWidth="1"/>
    <col min="43" max="43" width="27.42578125" customWidth="1"/>
    <col min="44" max="44" width="30.28515625" customWidth="1"/>
    <col min="45" max="45" width="19.28515625" customWidth="1"/>
    <col min="46" max="46" width="24.28515625" customWidth="1"/>
    <col min="47" max="47" width="22.28515625" customWidth="1"/>
    <col min="48" max="48" width="15.140625" customWidth="1"/>
    <col min="49" max="49" width="12.140625" bestFit="1" customWidth="1"/>
    <col min="50" max="50" width="10.5703125" bestFit="1" customWidth="1"/>
    <col min="51" max="51" width="8" bestFit="1" customWidth="1"/>
    <col min="52" max="53" width="8" customWidth="1"/>
    <col min="54" max="54" width="8" style="23" customWidth="1"/>
    <col min="55" max="57" width="8" customWidth="1"/>
  </cols>
  <sheetData>
    <row r="1" spans="1:57" x14ac:dyDescent="0.25">
      <c r="A1" s="152" t="s">
        <v>97</v>
      </c>
      <c r="B1" s="154" t="s">
        <v>0</v>
      </c>
      <c r="C1" s="154" t="s">
        <v>338</v>
      </c>
      <c r="D1" s="154" t="s">
        <v>292</v>
      </c>
      <c r="E1" s="154" t="s">
        <v>98</v>
      </c>
      <c r="F1" s="154" t="s">
        <v>54</v>
      </c>
      <c r="G1" s="154" t="s">
        <v>17</v>
      </c>
      <c r="H1" s="154" t="s">
        <v>99</v>
      </c>
      <c r="I1" s="183" t="s">
        <v>100</v>
      </c>
      <c r="J1" s="154" t="s">
        <v>101</v>
      </c>
      <c r="K1" s="183" t="s">
        <v>102</v>
      </c>
      <c r="L1" s="183" t="s">
        <v>103</v>
      </c>
      <c r="M1" s="183" t="s">
        <v>104</v>
      </c>
      <c r="N1" s="183" t="s">
        <v>105</v>
      </c>
      <c r="O1" s="154" t="s">
        <v>106</v>
      </c>
      <c r="P1" s="154" t="s">
        <v>107</v>
      </c>
      <c r="Q1" s="154" t="s">
        <v>108</v>
      </c>
      <c r="R1" s="154" t="s">
        <v>109</v>
      </c>
      <c r="S1" s="154" t="s">
        <v>110</v>
      </c>
      <c r="T1" s="154" t="s">
        <v>16</v>
      </c>
      <c r="U1" s="154" t="s">
        <v>15</v>
      </c>
      <c r="V1" s="183" t="s">
        <v>55</v>
      </c>
      <c r="W1" s="183" t="s">
        <v>56</v>
      </c>
      <c r="X1" s="183" t="s">
        <v>57</v>
      </c>
      <c r="Y1" s="154" t="s">
        <v>13</v>
      </c>
      <c r="Z1" s="154" t="s">
        <v>10</v>
      </c>
      <c r="AA1" s="183" t="s">
        <v>58</v>
      </c>
      <c r="AB1" s="183" t="s">
        <v>71</v>
      </c>
      <c r="AC1" s="183" t="s">
        <v>59</v>
      </c>
      <c r="AD1" s="183" t="s">
        <v>60</v>
      </c>
      <c r="AE1" s="183" t="s">
        <v>61</v>
      </c>
      <c r="AF1" s="183" t="s">
        <v>111</v>
      </c>
      <c r="AG1" s="183" t="s">
        <v>112</v>
      </c>
      <c r="AH1" s="183" t="s">
        <v>113</v>
      </c>
      <c r="AI1" s="183" t="s">
        <v>90</v>
      </c>
      <c r="AJ1" s="183" t="s">
        <v>62</v>
      </c>
      <c r="AK1" s="183" t="s">
        <v>72</v>
      </c>
      <c r="AL1" s="183" t="s">
        <v>63</v>
      </c>
      <c r="AM1" s="183" t="s">
        <v>64</v>
      </c>
      <c r="AN1" s="183" t="s">
        <v>65</v>
      </c>
      <c r="AO1" s="183" t="s">
        <v>18</v>
      </c>
      <c r="AP1" s="184" t="s">
        <v>19</v>
      </c>
      <c r="AQ1" s="183" t="s">
        <v>66</v>
      </c>
      <c r="AR1" s="183" t="s">
        <v>114</v>
      </c>
      <c r="AS1" s="183" t="s">
        <v>22</v>
      </c>
      <c r="AT1" s="183" t="s">
        <v>67</v>
      </c>
      <c r="AU1" s="183" t="s">
        <v>115</v>
      </c>
      <c r="AV1" s="185" t="s">
        <v>116</v>
      </c>
    </row>
    <row r="2" spans="1:57" s="33" customFormat="1" hidden="1" x14ac:dyDescent="0.25">
      <c r="A2" s="181">
        <v>32</v>
      </c>
      <c r="B2" s="38" t="s">
        <v>43</v>
      </c>
      <c r="C2" s="2">
        <v>81192</v>
      </c>
      <c r="D2" s="21"/>
      <c r="E2" s="245" t="s">
        <v>298</v>
      </c>
      <c r="F2" s="2" t="s">
        <v>299</v>
      </c>
      <c r="G2" s="37" t="s">
        <v>68</v>
      </c>
      <c r="H2" s="39">
        <v>46069</v>
      </c>
      <c r="I2" s="32">
        <v>197722.8</v>
      </c>
      <c r="J2" s="40">
        <v>0.9</v>
      </c>
      <c r="K2" s="41">
        <v>177950.52</v>
      </c>
      <c r="L2" s="41">
        <v>89.65</v>
      </c>
      <c r="M2" s="41">
        <v>17725849.02</v>
      </c>
      <c r="N2" s="41">
        <v>15953264.118000001</v>
      </c>
      <c r="O2" s="39">
        <v>46128</v>
      </c>
      <c r="P2" s="58">
        <v>9725694</v>
      </c>
      <c r="Q2" s="39">
        <v>46069</v>
      </c>
      <c r="R2" s="174" t="s">
        <v>300</v>
      </c>
      <c r="S2" s="39"/>
      <c r="T2" s="39">
        <v>46073</v>
      </c>
      <c r="U2" s="39">
        <v>46143</v>
      </c>
      <c r="V2" s="42">
        <v>160155.46799999999</v>
      </c>
      <c r="W2" s="42">
        <v>14558132.411160612</v>
      </c>
      <c r="X2" s="42">
        <v>17795.051999999996</v>
      </c>
      <c r="Y2" s="43">
        <v>5.9640400000000003E-2</v>
      </c>
      <c r="Z2" s="44">
        <v>70</v>
      </c>
      <c r="AA2" s="42">
        <v>1857.2820337764001</v>
      </c>
      <c r="AB2" s="32">
        <v>168826.94116061347</v>
      </c>
      <c r="AC2" s="42">
        <v>158298.18596622359</v>
      </c>
      <c r="AD2" s="56">
        <v>90.900002310009256</v>
      </c>
      <c r="AE2" s="175">
        <v>14389305.469999999</v>
      </c>
      <c r="AF2" s="59"/>
      <c r="AG2" s="45"/>
      <c r="AH2" s="60"/>
      <c r="AI2" s="39"/>
      <c r="AJ2" s="39">
        <v>46139</v>
      </c>
      <c r="AK2" s="58"/>
      <c r="AL2" s="176">
        <f>+Table2[[#This Row],[Inv Amt in USD for Discounting]]</f>
        <v>177950.52</v>
      </c>
      <c r="AM2" s="32">
        <v>94.129900000000006</v>
      </c>
      <c r="AN2" s="31">
        <f>+Table2[[#This Row],[Receipt Amount USD]]*Table2[[#This Row],[Conversion Rate for receipt (USD/INR)]]</f>
        <v>16750464.652548</v>
      </c>
      <c r="AO2" s="180">
        <f t="shared" ref="AO2:AO6" si="0">+AJ2</f>
        <v>46139</v>
      </c>
      <c r="AP2" s="46"/>
      <c r="AQ2" s="42">
        <f>+Table2[[#This Row],[Receipt in INR]]</f>
        <v>16750464.652548</v>
      </c>
      <c r="AR2" s="63">
        <f t="shared" ref="AR2:AR29" si="1">X2*AM2</f>
        <v>1675046.4652547997</v>
      </c>
      <c r="AS2" s="30"/>
      <c r="AT2" s="63"/>
      <c r="AU2" s="177"/>
      <c r="AV2" s="182"/>
      <c r="AY2" s="48"/>
      <c r="BA2" s="48"/>
      <c r="BB2" s="178"/>
      <c r="BC2" s="179"/>
      <c r="BD2" s="48"/>
      <c r="BE2" s="48"/>
    </row>
    <row r="3" spans="1:57" s="33" customFormat="1" hidden="1" x14ac:dyDescent="0.25">
      <c r="A3" s="181">
        <v>33</v>
      </c>
      <c r="B3" s="38" t="s">
        <v>43</v>
      </c>
      <c r="C3" s="2">
        <v>81199</v>
      </c>
      <c r="D3" s="21"/>
      <c r="E3" s="245" t="s">
        <v>301</v>
      </c>
      <c r="F3" s="2" t="s">
        <v>302</v>
      </c>
      <c r="G3" s="37" t="s">
        <v>68</v>
      </c>
      <c r="H3" s="39">
        <v>46082</v>
      </c>
      <c r="I3" s="32">
        <v>10866.12</v>
      </c>
      <c r="J3" s="40">
        <v>0.9</v>
      </c>
      <c r="K3" s="41">
        <v>9779.5080000000016</v>
      </c>
      <c r="L3" s="41">
        <v>90.2</v>
      </c>
      <c r="M3" s="41">
        <v>980124.02400000009</v>
      </c>
      <c r="N3" s="41">
        <v>882111.62160000007</v>
      </c>
      <c r="O3" s="39">
        <v>46141</v>
      </c>
      <c r="P3" s="58">
        <v>1151614</v>
      </c>
      <c r="Q3" s="39">
        <v>46083</v>
      </c>
      <c r="R3" s="174" t="s">
        <v>303</v>
      </c>
      <c r="S3" s="39"/>
      <c r="T3" s="39">
        <v>46086</v>
      </c>
      <c r="U3" s="39">
        <v>46156</v>
      </c>
      <c r="V3" s="42">
        <v>8801.5572000000011</v>
      </c>
      <c r="W3" s="42">
        <v>811442.84315320698</v>
      </c>
      <c r="X3" s="42">
        <v>977.95080000000053</v>
      </c>
      <c r="Y3" s="43">
        <v>5.9689899999999997E-2</v>
      </c>
      <c r="Z3" s="44">
        <v>66</v>
      </c>
      <c r="AA3" s="42">
        <v>96.316746003917999</v>
      </c>
      <c r="AB3" s="32">
        <v>8879.7393966472773</v>
      </c>
      <c r="AC3" s="42">
        <v>8705.2404539960826</v>
      </c>
      <c r="AD3" s="56">
        <v>92.193100006576884</v>
      </c>
      <c r="AE3" s="175">
        <v>802563.10375655966</v>
      </c>
      <c r="AF3" s="59"/>
      <c r="AG3" s="45"/>
      <c r="AH3" s="60"/>
      <c r="AI3" s="39"/>
      <c r="AJ3" s="39">
        <v>46139</v>
      </c>
      <c r="AK3" s="58"/>
      <c r="AL3" s="176">
        <f>+Table2[[#This Row],[Inv Amt in USD for Discounting]]</f>
        <v>9779.5080000000016</v>
      </c>
      <c r="AM3" s="32">
        <v>94.129900000000006</v>
      </c>
      <c r="AN3" s="31">
        <f>+Table2[[#This Row],[Receipt Amount USD]]*Table2[[#This Row],[Conversion Rate for receipt (USD/INR)]]</f>
        <v>920544.1100892002</v>
      </c>
      <c r="AO3" s="180">
        <f t="shared" si="0"/>
        <v>46139</v>
      </c>
      <c r="AP3" s="46"/>
      <c r="AQ3" s="42">
        <f>+Table2[[#This Row],[Receipt in INR]]</f>
        <v>920544.1100892002</v>
      </c>
      <c r="AR3" s="47">
        <f t="shared" si="1"/>
        <v>92054.411008920055</v>
      </c>
      <c r="AS3" s="61"/>
      <c r="AT3" s="62"/>
      <c r="AU3" s="177"/>
      <c r="AV3" s="182"/>
      <c r="AY3" s="48"/>
      <c r="BA3" s="48"/>
      <c r="BB3" s="178"/>
      <c r="BC3" s="179"/>
      <c r="BD3" s="48"/>
      <c r="BE3" s="48"/>
    </row>
    <row r="4" spans="1:57" s="33" customFormat="1" hidden="1" x14ac:dyDescent="0.25">
      <c r="A4" s="181">
        <v>33</v>
      </c>
      <c r="B4" s="38" t="s">
        <v>43</v>
      </c>
      <c r="C4" s="2">
        <v>81676</v>
      </c>
      <c r="D4" s="21"/>
      <c r="E4" s="245" t="s">
        <v>304</v>
      </c>
      <c r="F4" s="2" t="s">
        <v>294</v>
      </c>
      <c r="G4" s="37" t="s">
        <v>68</v>
      </c>
      <c r="H4" s="39">
        <v>46082</v>
      </c>
      <c r="I4" s="32">
        <v>145243.88</v>
      </c>
      <c r="J4" s="40">
        <v>0.9</v>
      </c>
      <c r="K4" s="41">
        <v>130719.49200000001</v>
      </c>
      <c r="L4" s="41">
        <v>90.2</v>
      </c>
      <c r="M4" s="41">
        <v>13100997.976000002</v>
      </c>
      <c r="N4" s="41">
        <v>11790898.178400002</v>
      </c>
      <c r="O4" s="39">
        <v>46141</v>
      </c>
      <c r="P4" s="58">
        <v>1151618</v>
      </c>
      <c r="Q4" s="39">
        <v>46083</v>
      </c>
      <c r="R4" s="174" t="s">
        <v>305</v>
      </c>
      <c r="S4" s="39"/>
      <c r="T4" s="39">
        <v>46086</v>
      </c>
      <c r="U4" s="39">
        <v>46156</v>
      </c>
      <c r="V4" s="42">
        <v>117647.54280000001</v>
      </c>
      <c r="W4" s="42">
        <v>10846291.678888435</v>
      </c>
      <c r="X4" s="42">
        <v>13071.949200000003</v>
      </c>
      <c r="Y4" s="43">
        <v>5.9689899999999997E-2</v>
      </c>
      <c r="Z4" s="44">
        <v>66</v>
      </c>
      <c r="AA4" s="42">
        <v>1287.4345119125821</v>
      </c>
      <c r="AB4" s="32">
        <v>118692.57870867518</v>
      </c>
      <c r="AC4" s="42">
        <v>116360.10828808743</v>
      </c>
      <c r="AD4" s="56">
        <v>92.193100006576884</v>
      </c>
      <c r="AE4" s="175">
        <v>10727599.10017976</v>
      </c>
      <c r="AF4" s="59"/>
      <c r="AG4" s="45"/>
      <c r="AH4" s="60"/>
      <c r="AI4" s="39"/>
      <c r="AJ4" s="39">
        <v>46139</v>
      </c>
      <c r="AK4" s="58"/>
      <c r="AL4" s="176">
        <f>+Table2[[#This Row],[Inv Amt in USD for Discounting]]</f>
        <v>130719.49200000001</v>
      </c>
      <c r="AM4" s="32">
        <v>94.129900000000006</v>
      </c>
      <c r="AN4" s="31">
        <f>+Table2[[#This Row],[Receipt Amount USD]]*Table2[[#This Row],[Conversion Rate for receipt (USD/INR)]]</f>
        <v>12304612.710010802</v>
      </c>
      <c r="AO4" s="180">
        <f t="shared" si="0"/>
        <v>46139</v>
      </c>
      <c r="AP4" s="46"/>
      <c r="AQ4" s="42">
        <f>+Table2[[#This Row],[Receipt in INR]]</f>
        <v>12304612.710010802</v>
      </c>
      <c r="AR4" s="47">
        <f t="shared" si="1"/>
        <v>1230461.2710010803</v>
      </c>
      <c r="AS4" s="61"/>
      <c r="AT4" s="62"/>
      <c r="AU4" s="177"/>
      <c r="AV4" s="182"/>
      <c r="AY4" s="48"/>
      <c r="BA4" s="48"/>
      <c r="BB4" s="178"/>
      <c r="BC4" s="179"/>
      <c r="BD4" s="48"/>
      <c r="BE4" s="48"/>
    </row>
    <row r="5" spans="1:57" s="33" customFormat="1" hidden="1" x14ac:dyDescent="0.25">
      <c r="A5" s="181">
        <v>33</v>
      </c>
      <c r="B5" s="38" t="s">
        <v>43</v>
      </c>
      <c r="C5" s="2">
        <v>81676</v>
      </c>
      <c r="D5" s="21"/>
      <c r="E5" s="245" t="s">
        <v>306</v>
      </c>
      <c r="F5" s="2" t="s">
        <v>294</v>
      </c>
      <c r="G5" s="37" t="s">
        <v>68</v>
      </c>
      <c r="H5" s="39">
        <v>46082</v>
      </c>
      <c r="I5" s="32">
        <v>186350.4</v>
      </c>
      <c r="J5" s="40">
        <v>0.9</v>
      </c>
      <c r="K5" s="41">
        <v>167715.35999999999</v>
      </c>
      <c r="L5" s="41">
        <v>90.2</v>
      </c>
      <c r="M5" s="41">
        <v>16808806.079999998</v>
      </c>
      <c r="N5" s="41">
        <v>15127925.471999999</v>
      </c>
      <c r="O5" s="39">
        <v>46141</v>
      </c>
      <c r="P5" s="58">
        <v>1151615</v>
      </c>
      <c r="Q5" s="39">
        <v>46083</v>
      </c>
      <c r="R5" s="174" t="s">
        <v>307</v>
      </c>
      <c r="S5" s="39"/>
      <c r="T5" s="39">
        <v>46086</v>
      </c>
      <c r="U5" s="39">
        <v>46156</v>
      </c>
      <c r="V5" s="42">
        <v>150943.82399999999</v>
      </c>
      <c r="W5" s="42">
        <v>13915979.06140714</v>
      </c>
      <c r="X5" s="42">
        <v>16771.535999999993</v>
      </c>
      <c r="Y5" s="43">
        <v>5.9689899999999997E-2</v>
      </c>
      <c r="Z5" s="44">
        <v>66</v>
      </c>
      <c r="AA5" s="42">
        <v>1651.80065603256</v>
      </c>
      <c r="AB5" s="32">
        <v>152284.62307253911</v>
      </c>
      <c r="AC5" s="42">
        <v>149292.02334396742</v>
      </c>
      <c r="AD5" s="56">
        <v>92.193100006576884</v>
      </c>
      <c r="AE5" s="175">
        <v>13763694.438334601</v>
      </c>
      <c r="AF5" s="59"/>
      <c r="AG5" s="45"/>
      <c r="AH5" s="60"/>
      <c r="AI5" s="39"/>
      <c r="AJ5" s="39">
        <v>46139</v>
      </c>
      <c r="AK5" s="58"/>
      <c r="AL5" s="176">
        <f>+Table2[[#This Row],[Inv Amt in USD for Discounting]]</f>
        <v>167715.35999999999</v>
      </c>
      <c r="AM5" s="32">
        <v>94.129900000000006</v>
      </c>
      <c r="AN5" s="31">
        <f>+Table2[[#This Row],[Receipt Amount USD]]*Table2[[#This Row],[Conversion Rate for receipt (USD/INR)]]</f>
        <v>15787030.065264</v>
      </c>
      <c r="AO5" s="180">
        <f t="shared" si="0"/>
        <v>46139</v>
      </c>
      <c r="AP5" s="46"/>
      <c r="AQ5" s="42">
        <f>+Table2[[#This Row],[Receipt in INR]]</f>
        <v>15787030.065264</v>
      </c>
      <c r="AR5" s="47">
        <f t="shared" si="1"/>
        <v>1578703.0065263994</v>
      </c>
      <c r="AS5" s="61"/>
      <c r="AT5" s="62"/>
      <c r="AU5" s="177"/>
      <c r="AV5" s="182"/>
      <c r="AY5" s="48"/>
      <c r="BA5" s="48"/>
      <c r="BB5" s="178"/>
      <c r="BC5" s="179"/>
      <c r="BD5" s="48"/>
      <c r="BE5" s="48"/>
    </row>
    <row r="6" spans="1:57" s="33" customFormat="1" hidden="1" x14ac:dyDescent="0.25">
      <c r="A6" s="181">
        <v>34</v>
      </c>
      <c r="B6" s="38" t="s">
        <v>43</v>
      </c>
      <c r="C6" s="2">
        <v>81192</v>
      </c>
      <c r="D6" s="21"/>
      <c r="E6" s="245" t="s">
        <v>308</v>
      </c>
      <c r="F6" s="2" t="s">
        <v>299</v>
      </c>
      <c r="G6" s="37" t="s">
        <v>68</v>
      </c>
      <c r="H6" s="39">
        <v>46083</v>
      </c>
      <c r="I6" s="32">
        <v>189695.08</v>
      </c>
      <c r="J6" s="40">
        <v>0.9</v>
      </c>
      <c r="K6" s="41">
        <v>170725.57199999999</v>
      </c>
      <c r="L6" s="41">
        <v>90.2</v>
      </c>
      <c r="M6" s="41">
        <v>17110496.215999998</v>
      </c>
      <c r="N6" s="41">
        <v>15399446.594399998</v>
      </c>
      <c r="O6" s="39">
        <v>46142</v>
      </c>
      <c r="P6" s="58">
        <v>1182969</v>
      </c>
      <c r="Q6" s="39">
        <v>46083</v>
      </c>
      <c r="R6" s="174" t="s">
        <v>309</v>
      </c>
      <c r="S6" s="39">
        <v>46088</v>
      </c>
      <c r="T6" s="39">
        <v>46087</v>
      </c>
      <c r="U6" s="39">
        <v>46157</v>
      </c>
      <c r="V6" s="42">
        <v>153653.0148</v>
      </c>
      <c r="W6" s="42">
        <v>14165747.759768438</v>
      </c>
      <c r="X6" s="42">
        <v>17072.557199999981</v>
      </c>
      <c r="Y6" s="43">
        <v>5.9689899999999997E-2</v>
      </c>
      <c r="Z6" s="44">
        <v>67</v>
      </c>
      <c r="AA6" s="42">
        <v>1706.9242136205689</v>
      </c>
      <c r="AB6" s="32">
        <v>157366.6347299687</v>
      </c>
      <c r="AC6" s="42">
        <v>151946.09058637943</v>
      </c>
      <c r="AD6" s="56">
        <v>92.193100006576884</v>
      </c>
      <c r="AE6" s="175">
        <v>14008381.125038469</v>
      </c>
      <c r="AF6" s="59"/>
      <c r="AG6" s="45"/>
      <c r="AH6" s="60"/>
      <c r="AI6" s="39"/>
      <c r="AJ6" s="39">
        <v>46139</v>
      </c>
      <c r="AK6" s="58"/>
      <c r="AL6" s="176">
        <f>+Table2[[#This Row],[Inv Amt in USD for Discounting]]</f>
        <v>170725.57199999999</v>
      </c>
      <c r="AM6" s="32">
        <v>94.129900000000006</v>
      </c>
      <c r="AN6" s="31">
        <f>+Table2[[#This Row],[Receipt Amount USD]]*Table2[[#This Row],[Conversion Rate for receipt (USD/INR)]]</f>
        <v>16070381.019802799</v>
      </c>
      <c r="AO6" s="180">
        <f t="shared" si="0"/>
        <v>46139</v>
      </c>
      <c r="AP6" s="46"/>
      <c r="AQ6" s="42">
        <f>+Table2[[#This Row],[Receipt in INR]]</f>
        <v>16070381.019802799</v>
      </c>
      <c r="AR6" s="47">
        <f t="shared" si="1"/>
        <v>1607038.1019802783</v>
      </c>
      <c r="AS6" s="61"/>
      <c r="AT6" s="62"/>
      <c r="AU6" s="177"/>
      <c r="AV6" s="182"/>
      <c r="AY6" s="48"/>
      <c r="BA6" s="48"/>
      <c r="BB6" s="178"/>
      <c r="BC6" s="179"/>
      <c r="BD6" s="48"/>
      <c r="BE6" s="48"/>
    </row>
    <row r="7" spans="1:57" s="33" customFormat="1" x14ac:dyDescent="0.25">
      <c r="A7" s="181">
        <v>35</v>
      </c>
      <c r="B7" s="38" t="s">
        <v>43</v>
      </c>
      <c r="C7" s="2">
        <v>77489</v>
      </c>
      <c r="D7" s="21"/>
      <c r="E7" s="38" t="s">
        <v>310</v>
      </c>
      <c r="F7" s="2" t="s">
        <v>297</v>
      </c>
      <c r="G7" s="37" t="s">
        <v>68</v>
      </c>
      <c r="H7" s="39">
        <v>46084</v>
      </c>
      <c r="I7" s="32">
        <v>225746.56</v>
      </c>
      <c r="J7" s="40">
        <v>0.9</v>
      </c>
      <c r="K7" s="41">
        <v>203171.90400000001</v>
      </c>
      <c r="L7" s="41">
        <v>90.2</v>
      </c>
      <c r="M7" s="41">
        <v>20362339.712000001</v>
      </c>
      <c r="N7" s="41">
        <v>18326105.740800001</v>
      </c>
      <c r="O7" s="39">
        <v>46143</v>
      </c>
      <c r="P7" s="58">
        <v>1203455</v>
      </c>
      <c r="Q7" s="39">
        <v>46084</v>
      </c>
      <c r="R7" s="174">
        <v>732116000663</v>
      </c>
      <c r="S7" s="39"/>
      <c r="T7" s="39">
        <v>46090</v>
      </c>
      <c r="U7" s="39">
        <v>46158</v>
      </c>
      <c r="V7" s="42">
        <v>182854.71360000002</v>
      </c>
      <c r="W7" s="42">
        <v>16857942.897598777</v>
      </c>
      <c r="X7" s="42">
        <v>20317.190399999992</v>
      </c>
      <c r="Y7" s="43">
        <v>5.9689899999999997E-2</v>
      </c>
      <c r="Z7" s="44">
        <v>68</v>
      </c>
      <c r="AA7" s="42">
        <v>2061.6428075368317</v>
      </c>
      <c r="AB7" s="32">
        <v>190069.24153308306</v>
      </c>
      <c r="AC7" s="42">
        <v>180793.07079246317</v>
      </c>
      <c r="AD7" s="56">
        <v>92.193100006576884</v>
      </c>
      <c r="AE7" s="175">
        <v>16667873.656065693</v>
      </c>
      <c r="AF7" s="59"/>
      <c r="AG7" s="45"/>
      <c r="AH7" s="60"/>
      <c r="AI7" s="39"/>
      <c r="AJ7" s="39"/>
      <c r="AK7" s="58"/>
      <c r="AL7" s="176">
        <f>+Table2[[#This Row],[Inv Amt in USD for Discounting]]</f>
        <v>203171.90400000001</v>
      </c>
      <c r="AM7" s="32"/>
      <c r="AN7" s="31">
        <f>+Table2[[#This Row],[Receipt Amount USD]]*Table2[[#This Row],[Conversion Rate for receipt (USD/INR)]]</f>
        <v>0</v>
      </c>
      <c r="AO7" s="39"/>
      <c r="AP7" s="46"/>
      <c r="AQ7" s="42">
        <f>+Table2[[#This Row],[Receipt in INR]]</f>
        <v>0</v>
      </c>
      <c r="AR7" s="47">
        <f t="shared" si="1"/>
        <v>0</v>
      </c>
      <c r="AS7" s="61">
        <f t="shared" ref="AS7:AS29" si="2">S7-AM7-1</f>
        <v>-1</v>
      </c>
      <c r="AT7" s="62">
        <f t="shared" ref="AT7:AT29" si="3">Y7/X7*AQ7</f>
        <v>0</v>
      </c>
      <c r="AU7" s="177"/>
      <c r="AV7" s="182"/>
      <c r="AY7" s="48"/>
      <c r="BA7" s="48"/>
      <c r="BB7" s="178"/>
      <c r="BC7" s="179"/>
      <c r="BD7" s="48"/>
      <c r="BE7" s="48"/>
    </row>
    <row r="8" spans="1:57" s="33" customFormat="1" x14ac:dyDescent="0.25">
      <c r="A8" s="181">
        <v>35</v>
      </c>
      <c r="B8" s="38" t="s">
        <v>43</v>
      </c>
      <c r="C8" s="2">
        <v>77489</v>
      </c>
      <c r="D8" s="21"/>
      <c r="E8" s="38" t="s">
        <v>311</v>
      </c>
      <c r="F8" s="2" t="s">
        <v>297</v>
      </c>
      <c r="G8" s="37" t="s">
        <v>68</v>
      </c>
      <c r="H8" s="39">
        <v>46084</v>
      </c>
      <c r="I8" s="32">
        <v>54146.400000000001</v>
      </c>
      <c r="J8" s="40">
        <v>0.9</v>
      </c>
      <c r="K8" s="41">
        <v>48731.76</v>
      </c>
      <c r="L8" s="41">
        <v>90.2</v>
      </c>
      <c r="M8" s="41">
        <v>4884005.28</v>
      </c>
      <c r="N8" s="41">
        <v>4395604.7520000003</v>
      </c>
      <c r="O8" s="39">
        <v>46143</v>
      </c>
      <c r="P8" s="58">
        <v>1203449</v>
      </c>
      <c r="Q8" s="39">
        <v>46084</v>
      </c>
      <c r="R8" s="174">
        <v>732116000663</v>
      </c>
      <c r="S8" s="39"/>
      <c r="T8" s="39">
        <v>46090</v>
      </c>
      <c r="U8" s="39">
        <v>46158</v>
      </c>
      <c r="V8" s="42">
        <v>43858.584000000003</v>
      </c>
      <c r="W8" s="42">
        <v>4043458.8208588529</v>
      </c>
      <c r="X8" s="42">
        <v>4873.1759999999995</v>
      </c>
      <c r="Y8" s="43">
        <v>5.9689899999999997E-2</v>
      </c>
      <c r="Z8" s="44">
        <v>68</v>
      </c>
      <c r="AA8" s="42">
        <v>494.49495980807995</v>
      </c>
      <c r="AB8" s="32">
        <v>45589.023282334529</v>
      </c>
      <c r="AC8" s="42">
        <v>43364.089040191924</v>
      </c>
      <c r="AD8" s="56">
        <v>92.193100006576884</v>
      </c>
      <c r="AE8" s="175">
        <v>3997869.7975765183</v>
      </c>
      <c r="AF8" s="59"/>
      <c r="AG8" s="45"/>
      <c r="AH8" s="60"/>
      <c r="AI8" s="39"/>
      <c r="AJ8" s="39"/>
      <c r="AK8" s="58"/>
      <c r="AL8" s="176">
        <f>+Table2[[#This Row],[Inv Amt in USD for Discounting]]</f>
        <v>48731.76</v>
      </c>
      <c r="AM8" s="32"/>
      <c r="AN8" s="31">
        <f>+Table2[[#This Row],[Receipt Amount USD]]*Table2[[#This Row],[Conversion Rate for receipt (USD/INR)]]</f>
        <v>0</v>
      </c>
      <c r="AO8" s="39"/>
      <c r="AP8" s="46"/>
      <c r="AQ8" s="42">
        <f>+Table2[[#This Row],[Receipt in INR]]</f>
        <v>0</v>
      </c>
      <c r="AR8" s="47">
        <f t="shared" si="1"/>
        <v>0</v>
      </c>
      <c r="AS8" s="61">
        <f t="shared" si="2"/>
        <v>-1</v>
      </c>
      <c r="AT8" s="62">
        <f t="shared" si="3"/>
        <v>0</v>
      </c>
      <c r="AU8" s="177"/>
      <c r="AV8" s="182"/>
      <c r="AY8" s="48"/>
      <c r="BA8" s="48"/>
      <c r="BB8" s="178"/>
      <c r="BC8" s="179"/>
      <c r="BD8" s="48"/>
      <c r="BE8" s="48"/>
    </row>
    <row r="9" spans="1:57" s="33" customFormat="1" hidden="1" x14ac:dyDescent="0.25">
      <c r="A9" s="181">
        <v>36</v>
      </c>
      <c r="B9" s="38" t="s">
        <v>43</v>
      </c>
      <c r="C9" s="2">
        <v>80389</v>
      </c>
      <c r="D9" s="21"/>
      <c r="E9" s="245" t="s">
        <v>312</v>
      </c>
      <c r="F9" s="2" t="s">
        <v>313</v>
      </c>
      <c r="G9" s="37" t="s">
        <v>68</v>
      </c>
      <c r="H9" s="39">
        <v>46090</v>
      </c>
      <c r="I9" s="32">
        <v>116371.2</v>
      </c>
      <c r="J9" s="40">
        <v>0.9</v>
      </c>
      <c r="K9" s="41">
        <v>104734.08</v>
      </c>
      <c r="L9" s="41">
        <v>90.8</v>
      </c>
      <c r="M9" s="41">
        <v>10566504.959999999</v>
      </c>
      <c r="N9" s="41">
        <v>9509854.4639999997</v>
      </c>
      <c r="O9" s="39">
        <v>46149</v>
      </c>
      <c r="P9" s="58">
        <v>1334292</v>
      </c>
      <c r="Q9" s="39">
        <v>46090</v>
      </c>
      <c r="R9" s="174" t="s">
        <v>314</v>
      </c>
      <c r="S9" s="39">
        <v>46096</v>
      </c>
      <c r="T9" s="39">
        <v>46094</v>
      </c>
      <c r="U9" s="39">
        <v>46164</v>
      </c>
      <c r="V9" s="42">
        <v>94260.672000000006</v>
      </c>
      <c r="W9" s="42">
        <v>8568295.3025430255</v>
      </c>
      <c r="X9" s="42">
        <v>10473.407999999996</v>
      </c>
      <c r="Y9" s="43">
        <v>5.9640400000000003E-2</v>
      </c>
      <c r="Z9" s="44">
        <v>71</v>
      </c>
      <c r="AA9" s="42">
        <v>1108.7328804076801</v>
      </c>
      <c r="AB9" s="32">
        <v>100783.82139024134</v>
      </c>
      <c r="AC9" s="42">
        <v>93151.939119592324</v>
      </c>
      <c r="AD9" s="56">
        <v>90.900002310009256</v>
      </c>
      <c r="AE9" s="175">
        <v>8467511.4811527841</v>
      </c>
      <c r="AF9" s="59"/>
      <c r="AG9" s="45"/>
      <c r="AH9" s="60"/>
      <c r="AI9" s="39"/>
      <c r="AJ9" s="39">
        <v>46139</v>
      </c>
      <c r="AK9" s="58"/>
      <c r="AL9" s="176">
        <f>+Table2[[#This Row],[Inv Amt in USD for Discounting]]</f>
        <v>104734.08</v>
      </c>
      <c r="AM9" s="32">
        <v>94.129900000000006</v>
      </c>
      <c r="AN9" s="31">
        <f>+Table2[[#This Row],[Receipt Amount USD]]*Table2[[#This Row],[Conversion Rate for receipt (USD/INR)]]</f>
        <v>9858608.4769920018</v>
      </c>
      <c r="AO9" s="180">
        <f>+AJ9</f>
        <v>46139</v>
      </c>
      <c r="AP9" s="46"/>
      <c r="AQ9" s="42">
        <f>+Table2[[#This Row],[Receipt in INR]]</f>
        <v>9858608.4769920018</v>
      </c>
      <c r="AR9" s="47">
        <f t="shared" si="1"/>
        <v>985860.84769919969</v>
      </c>
      <c r="AS9" s="61"/>
      <c r="AT9" s="62"/>
      <c r="AU9" s="177"/>
      <c r="AV9" s="182"/>
      <c r="AY9" s="48"/>
      <c r="BA9" s="48"/>
      <c r="BB9" s="178"/>
      <c r="BC9" s="179"/>
      <c r="BD9" s="48"/>
      <c r="BE9" s="48"/>
    </row>
    <row r="10" spans="1:57" s="33" customFormat="1" x14ac:dyDescent="0.25">
      <c r="A10" s="181">
        <v>36</v>
      </c>
      <c r="B10" s="38" t="s">
        <v>43</v>
      </c>
      <c r="C10" s="2">
        <v>77489</v>
      </c>
      <c r="D10" s="21"/>
      <c r="E10" s="38" t="s">
        <v>315</v>
      </c>
      <c r="F10" s="2" t="s">
        <v>297</v>
      </c>
      <c r="G10" s="37" t="s">
        <v>68</v>
      </c>
      <c r="H10" s="39">
        <v>46091</v>
      </c>
      <c r="I10" s="32">
        <v>91456.4</v>
      </c>
      <c r="J10" s="40">
        <v>0.9</v>
      </c>
      <c r="K10" s="41">
        <v>82310.759999999995</v>
      </c>
      <c r="L10" s="41">
        <v>90.8</v>
      </c>
      <c r="M10" s="41">
        <v>8304241.1199999992</v>
      </c>
      <c r="N10" s="41">
        <v>7473817.0079999994</v>
      </c>
      <c r="O10" s="39">
        <v>46150</v>
      </c>
      <c r="P10" s="58">
        <v>1357056</v>
      </c>
      <c r="Q10" s="39">
        <v>46091</v>
      </c>
      <c r="R10" s="174" t="s">
        <v>316</v>
      </c>
      <c r="S10" s="39">
        <v>46096</v>
      </c>
      <c r="T10" s="39">
        <v>46094</v>
      </c>
      <c r="U10" s="39">
        <v>46165</v>
      </c>
      <c r="V10" s="42">
        <v>74079.683999999994</v>
      </c>
      <c r="W10" s="42">
        <v>6733843.4467247548</v>
      </c>
      <c r="X10" s="42">
        <v>8231.0760000000009</v>
      </c>
      <c r="Y10" s="43">
        <v>5.9640400000000003E-2</v>
      </c>
      <c r="Z10" s="44">
        <v>72</v>
      </c>
      <c r="AA10" s="42">
        <v>883.62839712671996</v>
      </c>
      <c r="AB10" s="32">
        <v>80321.823340008617</v>
      </c>
      <c r="AC10" s="42">
        <v>73196.055602873268</v>
      </c>
      <c r="AD10" s="56">
        <v>90.900002310009256</v>
      </c>
      <c r="AE10" s="175">
        <v>6653521.6233847458</v>
      </c>
      <c r="AF10" s="59"/>
      <c r="AG10" s="45"/>
      <c r="AH10" s="60"/>
      <c r="AI10" s="39"/>
      <c r="AJ10" s="39"/>
      <c r="AK10" s="58"/>
      <c r="AL10" s="176">
        <f>+Table2[[#This Row],[Inv Amt in USD for Discounting]]</f>
        <v>82310.759999999995</v>
      </c>
      <c r="AM10" s="32"/>
      <c r="AN10" s="31">
        <f>+Table2[[#This Row],[Receipt Amount USD]]*Table2[[#This Row],[Conversion Rate for receipt (USD/INR)]]</f>
        <v>0</v>
      </c>
      <c r="AO10" s="39"/>
      <c r="AP10" s="46"/>
      <c r="AQ10" s="42">
        <f>+Table2[[#This Row],[Receipt in INR]]</f>
        <v>0</v>
      </c>
      <c r="AR10" s="47">
        <f t="shared" si="1"/>
        <v>0</v>
      </c>
      <c r="AS10" s="61">
        <f t="shared" si="2"/>
        <v>46095</v>
      </c>
      <c r="AT10" s="62">
        <f t="shared" si="3"/>
        <v>0</v>
      </c>
      <c r="AU10" s="177"/>
      <c r="AV10" s="182"/>
      <c r="AY10" s="48"/>
      <c r="BA10" s="48"/>
      <c r="BB10" s="178"/>
      <c r="BC10" s="179"/>
      <c r="BD10" s="48"/>
      <c r="BE10" s="48"/>
    </row>
    <row r="11" spans="1:57" s="33" customFormat="1" x14ac:dyDescent="0.25">
      <c r="A11" s="181">
        <v>36</v>
      </c>
      <c r="B11" s="38" t="s">
        <v>43</v>
      </c>
      <c r="C11" s="2">
        <v>77489</v>
      </c>
      <c r="D11" s="21"/>
      <c r="E11" s="38" t="s">
        <v>317</v>
      </c>
      <c r="F11" s="2" t="s">
        <v>297</v>
      </c>
      <c r="G11" s="37" t="s">
        <v>68</v>
      </c>
      <c r="H11" s="39">
        <v>46091</v>
      </c>
      <c r="I11" s="32">
        <v>193725.68</v>
      </c>
      <c r="J11" s="40">
        <v>0.9</v>
      </c>
      <c r="K11" s="41">
        <v>174353.11199999999</v>
      </c>
      <c r="L11" s="41">
        <v>90.8</v>
      </c>
      <c r="M11" s="41">
        <v>17590291.743999999</v>
      </c>
      <c r="N11" s="41">
        <v>15831262.569599999</v>
      </c>
      <c r="O11" s="39">
        <v>46150</v>
      </c>
      <c r="P11" s="58">
        <v>1370666</v>
      </c>
      <c r="Q11" s="39">
        <v>46091</v>
      </c>
      <c r="R11" s="174"/>
      <c r="S11" s="39"/>
      <c r="T11" s="39">
        <v>46094</v>
      </c>
      <c r="U11" s="39">
        <v>46165</v>
      </c>
      <c r="V11" s="42">
        <v>156917.8008</v>
      </c>
      <c r="W11" s="42">
        <v>14263828.455201572</v>
      </c>
      <c r="X11" s="42">
        <v>17435.311199999996</v>
      </c>
      <c r="Y11" s="43">
        <v>5.9640400000000003E-2</v>
      </c>
      <c r="Z11" s="44">
        <v>72</v>
      </c>
      <c r="AA11" s="42">
        <v>1871.728081366464</v>
      </c>
      <c r="AB11" s="32">
        <v>170140.08691992078</v>
      </c>
      <c r="AC11" s="42">
        <v>155046.07271863354</v>
      </c>
      <c r="AD11" s="56">
        <v>90.900002310009256</v>
      </c>
      <c r="AE11" s="175">
        <v>14093688.368281651</v>
      </c>
      <c r="AF11" s="59"/>
      <c r="AG11" s="45"/>
      <c r="AH11" s="60"/>
      <c r="AI11" s="39"/>
      <c r="AJ11" s="39"/>
      <c r="AK11" s="58"/>
      <c r="AL11" s="176">
        <f>+Table2[[#This Row],[Inv Amt in USD for Discounting]]</f>
        <v>174353.11199999999</v>
      </c>
      <c r="AM11" s="32"/>
      <c r="AN11" s="31">
        <f>+Table2[[#This Row],[Receipt Amount USD]]*Table2[[#This Row],[Conversion Rate for receipt (USD/INR)]]</f>
        <v>0</v>
      </c>
      <c r="AO11" s="39"/>
      <c r="AP11" s="46"/>
      <c r="AQ11" s="42">
        <f>+Table2[[#This Row],[Receipt in INR]]</f>
        <v>0</v>
      </c>
      <c r="AR11" s="47">
        <f t="shared" si="1"/>
        <v>0</v>
      </c>
      <c r="AS11" s="61">
        <f t="shared" si="2"/>
        <v>-1</v>
      </c>
      <c r="AT11" s="62">
        <f t="shared" si="3"/>
        <v>0</v>
      </c>
      <c r="AU11" s="177"/>
      <c r="AV11" s="182"/>
      <c r="AY11" s="48"/>
      <c r="BA11" s="48"/>
      <c r="BB11" s="178"/>
      <c r="BC11" s="179"/>
      <c r="BD11" s="48"/>
      <c r="BE11" s="48"/>
    </row>
    <row r="12" spans="1:57" s="33" customFormat="1" hidden="1" x14ac:dyDescent="0.25">
      <c r="A12" s="181">
        <v>36</v>
      </c>
      <c r="B12" s="38" t="s">
        <v>43</v>
      </c>
      <c r="C12" s="2">
        <v>82986</v>
      </c>
      <c r="D12" s="21"/>
      <c r="E12" s="38" t="s">
        <v>318</v>
      </c>
      <c r="F12" s="2" t="s">
        <v>319</v>
      </c>
      <c r="G12" s="37" t="s">
        <v>68</v>
      </c>
      <c r="H12" s="39">
        <v>46091</v>
      </c>
      <c r="I12" s="32">
        <v>7682.03</v>
      </c>
      <c r="J12" s="40">
        <v>0.9</v>
      </c>
      <c r="K12" s="41">
        <v>6913.8270000000002</v>
      </c>
      <c r="L12" s="41">
        <v>90.8</v>
      </c>
      <c r="M12" s="41">
        <v>697528.32399999991</v>
      </c>
      <c r="N12" s="41">
        <v>627775.49159999995</v>
      </c>
      <c r="O12" s="39">
        <v>46150</v>
      </c>
      <c r="P12" s="58">
        <v>1377478</v>
      </c>
      <c r="Q12" s="39">
        <v>46091</v>
      </c>
      <c r="R12" s="174" t="s">
        <v>320</v>
      </c>
      <c r="S12" s="39">
        <v>46096</v>
      </c>
      <c r="T12" s="39">
        <v>46094</v>
      </c>
      <c r="U12" s="39">
        <v>46165</v>
      </c>
      <c r="V12" s="42">
        <v>6222.4443000000001</v>
      </c>
      <c r="W12" s="42">
        <v>565620.20124390395</v>
      </c>
      <c r="X12" s="42">
        <v>691.38270000000011</v>
      </c>
      <c r="Y12" s="43">
        <v>5.9640400000000003E-2</v>
      </c>
      <c r="Z12" s="44">
        <v>72</v>
      </c>
      <c r="AA12" s="42">
        <v>74.221813405944005</v>
      </c>
      <c r="AB12" s="32">
        <v>6746.7630100533861</v>
      </c>
      <c r="AC12" s="42">
        <v>6148.2224865940561</v>
      </c>
      <c r="AD12" s="56">
        <v>90.900002310009256</v>
      </c>
      <c r="AE12" s="175">
        <v>558873.43823385052</v>
      </c>
      <c r="AF12" s="59"/>
      <c r="AG12" s="45"/>
      <c r="AH12" s="60"/>
      <c r="AI12" s="39"/>
      <c r="AJ12" s="39"/>
      <c r="AK12" s="58"/>
      <c r="AL12" s="176">
        <f>+Table2[[#This Row],[Inv Amt in USD for Discounting]]</f>
        <v>6913.8270000000002</v>
      </c>
      <c r="AM12" s="32"/>
      <c r="AN12" s="31">
        <f>+Table2[[#This Row],[Receipt Amount USD]]*Table2[[#This Row],[Conversion Rate for receipt (USD/INR)]]</f>
        <v>0</v>
      </c>
      <c r="AO12" s="39"/>
      <c r="AP12" s="46"/>
      <c r="AQ12" s="42">
        <f>+Table2[[#This Row],[Receipt in INR]]</f>
        <v>0</v>
      </c>
      <c r="AR12" s="47">
        <f t="shared" si="1"/>
        <v>0</v>
      </c>
      <c r="AS12" s="61">
        <f t="shared" si="2"/>
        <v>46095</v>
      </c>
      <c r="AT12" s="62">
        <f t="shared" si="3"/>
        <v>0</v>
      </c>
      <c r="AU12" s="177"/>
      <c r="AV12" s="182"/>
      <c r="AY12" s="48"/>
      <c r="BA12" s="48"/>
      <c r="BB12" s="178"/>
      <c r="BC12" s="179"/>
      <c r="BD12" s="48"/>
      <c r="BE12" s="48"/>
    </row>
    <row r="13" spans="1:57" s="33" customFormat="1" hidden="1" x14ac:dyDescent="0.25">
      <c r="A13" s="181">
        <v>36</v>
      </c>
      <c r="B13" s="38" t="s">
        <v>43</v>
      </c>
      <c r="C13" s="2">
        <v>82536</v>
      </c>
      <c r="D13" s="21"/>
      <c r="E13" s="38" t="s">
        <v>321</v>
      </c>
      <c r="F13" s="2"/>
      <c r="G13" s="37" t="s">
        <v>68</v>
      </c>
      <c r="H13" s="39">
        <v>46091</v>
      </c>
      <c r="I13" s="32">
        <v>2791.14</v>
      </c>
      <c r="J13" s="40">
        <v>0.9</v>
      </c>
      <c r="K13" s="41">
        <v>2512.0259999999998</v>
      </c>
      <c r="L13" s="41">
        <v>90.8</v>
      </c>
      <c r="M13" s="41">
        <v>253435.51199999999</v>
      </c>
      <c r="N13" s="41">
        <v>228091.9608</v>
      </c>
      <c r="O13" s="39">
        <v>46150</v>
      </c>
      <c r="P13" s="58">
        <v>1375451</v>
      </c>
      <c r="Q13" s="39">
        <v>46091</v>
      </c>
      <c r="R13" s="174" t="s">
        <v>320</v>
      </c>
      <c r="S13" s="39">
        <v>46096</v>
      </c>
      <c r="T13" s="39">
        <v>46094</v>
      </c>
      <c r="U13" s="39">
        <v>46165</v>
      </c>
      <c r="V13" s="42">
        <v>2260.8233999999998</v>
      </c>
      <c r="W13" s="42">
        <v>205508.85228252297</v>
      </c>
      <c r="X13" s="42">
        <v>251.20260000000007</v>
      </c>
      <c r="Y13" s="43">
        <v>5.9640400000000003E-2</v>
      </c>
      <c r="Z13" s="44">
        <v>72</v>
      </c>
      <c r="AA13" s="42">
        <v>26.967282381071996</v>
      </c>
      <c r="AB13" s="32">
        <v>2451.3260307341166</v>
      </c>
      <c r="AC13" s="42">
        <v>2233.8561176189278</v>
      </c>
      <c r="AD13" s="56">
        <v>90.900002310009256</v>
      </c>
      <c r="AE13" s="175">
        <v>203057.52625178886</v>
      </c>
      <c r="AF13" s="59"/>
      <c r="AG13" s="45"/>
      <c r="AH13" s="60"/>
      <c r="AI13" s="39"/>
      <c r="AJ13" s="39"/>
      <c r="AK13" s="58"/>
      <c r="AL13" s="176">
        <f>+Table2[[#This Row],[Inv Amt in USD for Discounting]]</f>
        <v>2512.0259999999998</v>
      </c>
      <c r="AM13" s="32"/>
      <c r="AN13" s="31">
        <f>+Table2[[#This Row],[Receipt Amount USD]]*Table2[[#This Row],[Conversion Rate for receipt (USD/INR)]]</f>
        <v>0</v>
      </c>
      <c r="AO13" s="39"/>
      <c r="AP13" s="46"/>
      <c r="AQ13" s="42">
        <f>+Table2[[#This Row],[Receipt in INR]]</f>
        <v>0</v>
      </c>
      <c r="AR13" s="47">
        <f t="shared" si="1"/>
        <v>0</v>
      </c>
      <c r="AS13" s="61">
        <f t="shared" si="2"/>
        <v>46095</v>
      </c>
      <c r="AT13" s="62">
        <f t="shared" si="3"/>
        <v>0</v>
      </c>
      <c r="AU13" s="177"/>
      <c r="AV13" s="182"/>
      <c r="AY13" s="48"/>
      <c r="BA13" s="48"/>
      <c r="BB13" s="178"/>
      <c r="BC13" s="179"/>
      <c r="BD13" s="48"/>
      <c r="BE13" s="48"/>
    </row>
    <row r="14" spans="1:57" s="33" customFormat="1" hidden="1" x14ac:dyDescent="0.25">
      <c r="A14" s="181">
        <v>36</v>
      </c>
      <c r="B14" s="38" t="s">
        <v>43</v>
      </c>
      <c r="C14" s="2">
        <v>81192</v>
      </c>
      <c r="D14" s="21"/>
      <c r="E14" s="245" t="s">
        <v>322</v>
      </c>
      <c r="F14" s="2" t="s">
        <v>299</v>
      </c>
      <c r="G14" s="37" t="s">
        <v>68</v>
      </c>
      <c r="H14" s="39">
        <v>46092</v>
      </c>
      <c r="I14" s="32">
        <v>186251.51999999999</v>
      </c>
      <c r="J14" s="40">
        <v>0.9</v>
      </c>
      <c r="K14" s="41">
        <v>167626.36799999999</v>
      </c>
      <c r="L14" s="41">
        <v>90.8</v>
      </c>
      <c r="M14" s="41">
        <v>16911638.015999999</v>
      </c>
      <c r="N14" s="41">
        <v>15220474.214399999</v>
      </c>
      <c r="O14" s="39">
        <v>46151</v>
      </c>
      <c r="P14" s="58">
        <v>1406198</v>
      </c>
      <c r="Q14" s="39">
        <v>46092</v>
      </c>
      <c r="R14" s="174" t="s">
        <v>323</v>
      </c>
      <c r="S14" s="39">
        <v>46096</v>
      </c>
      <c r="T14" s="39">
        <v>46094</v>
      </c>
      <c r="U14" s="39">
        <v>46166</v>
      </c>
      <c r="V14" s="42">
        <v>150863.73119999998</v>
      </c>
      <c r="W14" s="42">
        <v>13713513.514576614</v>
      </c>
      <c r="X14" s="42">
        <v>16762.636800000007</v>
      </c>
      <c r="Y14" s="43">
        <v>5.9640400000000003E-2</v>
      </c>
      <c r="Z14" s="44">
        <v>73</v>
      </c>
      <c r="AA14" s="42">
        <v>1824.5079139472639</v>
      </c>
      <c r="AB14" s="32">
        <v>165847.77359243645</v>
      </c>
      <c r="AC14" s="42">
        <v>149039.22328605273</v>
      </c>
      <c r="AD14" s="56">
        <v>90.900002310009256</v>
      </c>
      <c r="AE14" s="175">
        <v>13547665.740984177</v>
      </c>
      <c r="AF14" s="59"/>
      <c r="AG14" s="45"/>
      <c r="AH14" s="60"/>
      <c r="AI14" s="39"/>
      <c r="AJ14" s="39">
        <v>46139</v>
      </c>
      <c r="AK14" s="58"/>
      <c r="AL14" s="176">
        <f>+Table2[[#This Row],[Inv Amt in USD for Discounting]]</f>
        <v>167626.36799999999</v>
      </c>
      <c r="AM14" s="32">
        <v>94.129900000000006</v>
      </c>
      <c r="AN14" s="31">
        <f>+Table2[[#This Row],[Receipt Amount USD]]*Table2[[#This Row],[Conversion Rate for receipt (USD/INR)]]</f>
        <v>15778653.257203201</v>
      </c>
      <c r="AO14" s="180">
        <f>+AJ14</f>
        <v>46139</v>
      </c>
      <c r="AP14" s="46"/>
      <c r="AQ14" s="42">
        <f>+Table2[[#This Row],[Receipt in INR]]</f>
        <v>15778653.257203201</v>
      </c>
      <c r="AR14" s="47">
        <f t="shared" si="1"/>
        <v>1577865.3257203209</v>
      </c>
      <c r="AS14" s="61"/>
      <c r="AT14" s="62"/>
      <c r="AU14" s="177"/>
      <c r="AV14" s="182"/>
      <c r="AY14" s="48"/>
      <c r="BA14" s="48"/>
      <c r="BB14" s="178"/>
      <c r="BC14" s="179"/>
      <c r="BD14" s="48"/>
      <c r="BE14" s="48"/>
    </row>
    <row r="15" spans="1:57" s="33" customFormat="1" x14ac:dyDescent="0.25">
      <c r="A15" s="181">
        <v>36</v>
      </c>
      <c r="B15" s="38" t="s">
        <v>43</v>
      </c>
      <c r="C15" s="2">
        <v>77489</v>
      </c>
      <c r="D15" s="21"/>
      <c r="E15" s="38" t="s">
        <v>324</v>
      </c>
      <c r="F15" s="2" t="s">
        <v>297</v>
      </c>
      <c r="G15" s="37" t="s">
        <v>68</v>
      </c>
      <c r="H15" s="39">
        <v>46092</v>
      </c>
      <c r="I15" s="32">
        <v>103995.35</v>
      </c>
      <c r="J15" s="40">
        <v>0.9</v>
      </c>
      <c r="K15" s="41">
        <v>93595.815000000002</v>
      </c>
      <c r="L15" s="41">
        <v>90.8</v>
      </c>
      <c r="M15" s="41">
        <v>9442777.7799999993</v>
      </c>
      <c r="N15" s="41">
        <v>8498500.0020000003</v>
      </c>
      <c r="O15" s="39">
        <v>46151</v>
      </c>
      <c r="P15" s="58">
        <v>1410815</v>
      </c>
      <c r="Q15" s="39">
        <v>46092</v>
      </c>
      <c r="R15" s="174" t="s">
        <v>325</v>
      </c>
      <c r="S15" s="39">
        <v>46096</v>
      </c>
      <c r="T15" s="39">
        <v>46094</v>
      </c>
      <c r="U15" s="39">
        <v>46166</v>
      </c>
      <c r="V15" s="42">
        <v>84236.233500000002</v>
      </c>
      <c r="W15" s="42">
        <v>7657073.8197364789</v>
      </c>
      <c r="X15" s="42">
        <v>9359.5815000000002</v>
      </c>
      <c r="Y15" s="43">
        <v>5.9640400000000003E-2</v>
      </c>
      <c r="Z15" s="44">
        <v>73</v>
      </c>
      <c r="AA15" s="42">
        <v>1018.7317616989951</v>
      </c>
      <c r="AB15" s="32">
        <v>92602.719491718453</v>
      </c>
      <c r="AC15" s="42">
        <v>83217.501738301013</v>
      </c>
      <c r="AD15" s="56">
        <v>90.900002310009256</v>
      </c>
      <c r="AE15" s="175">
        <v>7564471.1002447605</v>
      </c>
      <c r="AF15" s="59"/>
      <c r="AG15" s="45"/>
      <c r="AH15" s="60"/>
      <c r="AI15" s="39"/>
      <c r="AJ15" s="39"/>
      <c r="AK15" s="58"/>
      <c r="AL15" s="176">
        <f>+Table2[[#This Row],[Inv Amt in USD for Discounting]]</f>
        <v>93595.815000000002</v>
      </c>
      <c r="AM15" s="32"/>
      <c r="AN15" s="31">
        <f>+Table2[[#This Row],[Receipt Amount USD]]*Table2[[#This Row],[Conversion Rate for receipt (USD/INR)]]</f>
        <v>0</v>
      </c>
      <c r="AO15" s="39"/>
      <c r="AP15" s="46"/>
      <c r="AQ15" s="42">
        <f>+Table2[[#This Row],[Receipt in INR]]</f>
        <v>0</v>
      </c>
      <c r="AR15" s="47">
        <f t="shared" si="1"/>
        <v>0</v>
      </c>
      <c r="AS15" s="61">
        <f t="shared" si="2"/>
        <v>46095</v>
      </c>
      <c r="AT15" s="62">
        <f t="shared" si="3"/>
        <v>0</v>
      </c>
      <c r="AU15" s="177"/>
      <c r="AV15" s="182"/>
      <c r="AY15" s="48"/>
      <c r="BA15" s="48"/>
      <c r="BB15" s="178"/>
      <c r="BC15" s="179"/>
      <c r="BD15" s="48"/>
      <c r="BE15" s="48"/>
    </row>
    <row r="16" spans="1:57" s="33" customFormat="1" x14ac:dyDescent="0.25">
      <c r="A16" s="181">
        <v>37</v>
      </c>
      <c r="B16" s="38" t="s">
        <v>43</v>
      </c>
      <c r="C16" s="2">
        <v>77489</v>
      </c>
      <c r="D16" s="21"/>
      <c r="E16" s="38" t="s">
        <v>326</v>
      </c>
      <c r="F16" s="2" t="s">
        <v>297</v>
      </c>
      <c r="G16" s="37" t="s">
        <v>68</v>
      </c>
      <c r="H16" s="39">
        <v>46096</v>
      </c>
      <c r="I16" s="32">
        <v>189734.88</v>
      </c>
      <c r="J16" s="40">
        <v>0.9</v>
      </c>
      <c r="K16" s="41">
        <v>170761.39200000002</v>
      </c>
      <c r="L16" s="41">
        <v>90.8</v>
      </c>
      <c r="M16" s="41">
        <v>17227927.103999998</v>
      </c>
      <c r="N16" s="41">
        <v>15505134.393599998</v>
      </c>
      <c r="O16" s="39">
        <v>46155</v>
      </c>
      <c r="P16" s="58">
        <v>1509829</v>
      </c>
      <c r="Q16" s="39">
        <v>46096</v>
      </c>
      <c r="R16" s="174" t="s">
        <v>327</v>
      </c>
      <c r="S16" s="39">
        <v>46100</v>
      </c>
      <c r="T16" s="39">
        <v>46105</v>
      </c>
      <c r="U16" s="39">
        <v>46170</v>
      </c>
      <c r="V16" s="42">
        <v>153685.25280000002</v>
      </c>
      <c r="W16" s="42">
        <v>13969989.834534358</v>
      </c>
      <c r="X16" s="42">
        <v>17076.139200000005</v>
      </c>
      <c r="Y16" s="43">
        <v>5.9640400000000003E-2</v>
      </c>
      <c r="Z16" s="44">
        <v>77</v>
      </c>
      <c r="AA16" s="42">
        <v>1960.4734617615843</v>
      </c>
      <c r="AB16" s="32">
        <v>178207.04220283986</v>
      </c>
      <c r="AC16" s="42">
        <v>151724.77933823844</v>
      </c>
      <c r="AD16" s="56">
        <v>90.900002310009256</v>
      </c>
      <c r="AE16" s="175">
        <v>13791782.792331519</v>
      </c>
      <c r="AF16" s="59"/>
      <c r="AG16" s="45"/>
      <c r="AH16" s="60"/>
      <c r="AI16" s="39"/>
      <c r="AJ16" s="39"/>
      <c r="AK16" s="58"/>
      <c r="AL16" s="176">
        <f>+Table2[[#This Row],[Inv Amt in USD for Discounting]]</f>
        <v>170761.39200000002</v>
      </c>
      <c r="AM16" s="32"/>
      <c r="AN16" s="31">
        <f>+Table2[[#This Row],[Receipt Amount USD]]*Table2[[#This Row],[Conversion Rate for receipt (USD/INR)]]</f>
        <v>0</v>
      </c>
      <c r="AO16" s="39"/>
      <c r="AP16" s="46"/>
      <c r="AQ16" s="42">
        <f>+Table2[[#This Row],[Receipt in INR]]</f>
        <v>0</v>
      </c>
      <c r="AR16" s="47">
        <f t="shared" si="1"/>
        <v>0</v>
      </c>
      <c r="AS16" s="61">
        <f t="shared" si="2"/>
        <v>46099</v>
      </c>
      <c r="AT16" s="62">
        <f t="shared" si="3"/>
        <v>0</v>
      </c>
      <c r="AU16" s="177"/>
      <c r="AV16" s="182"/>
      <c r="AY16" s="48"/>
      <c r="BA16" s="48"/>
      <c r="BB16" s="178"/>
      <c r="BC16" s="179"/>
      <c r="BD16" s="48"/>
      <c r="BE16" s="48"/>
    </row>
    <row r="17" spans="1:57" s="33" customFormat="1" x14ac:dyDescent="0.25">
      <c r="A17" s="181">
        <v>37</v>
      </c>
      <c r="B17" s="38" t="s">
        <v>43</v>
      </c>
      <c r="C17" s="2">
        <v>77489</v>
      </c>
      <c r="D17" s="21"/>
      <c r="E17" s="38" t="s">
        <v>328</v>
      </c>
      <c r="F17" s="2" t="s">
        <v>297</v>
      </c>
      <c r="G17" s="37" t="s">
        <v>68</v>
      </c>
      <c r="H17" s="39">
        <v>46096</v>
      </c>
      <c r="I17" s="32">
        <v>211428</v>
      </c>
      <c r="J17" s="40">
        <v>0.9</v>
      </c>
      <c r="K17" s="41">
        <v>190285.2</v>
      </c>
      <c r="L17" s="41">
        <v>90.8</v>
      </c>
      <c r="M17" s="41">
        <v>19197662.399999999</v>
      </c>
      <c r="N17" s="41">
        <v>17277896.16</v>
      </c>
      <c r="O17" s="39">
        <v>46155</v>
      </c>
      <c r="P17" s="58">
        <v>1510231</v>
      </c>
      <c r="Q17" s="39">
        <v>46096</v>
      </c>
      <c r="R17" s="174" t="s">
        <v>329</v>
      </c>
      <c r="S17" s="39">
        <v>46100</v>
      </c>
      <c r="T17" s="39">
        <v>46105</v>
      </c>
      <c r="U17" s="39">
        <v>46170</v>
      </c>
      <c r="V17" s="42">
        <v>171256.68000000002</v>
      </c>
      <c r="W17" s="42">
        <v>15567232.607604519</v>
      </c>
      <c r="X17" s="42">
        <v>19028.51999999999</v>
      </c>
      <c r="Y17" s="43">
        <v>5.9640400000000003E-2</v>
      </c>
      <c r="Z17" s="44">
        <v>77</v>
      </c>
      <c r="AA17" s="42">
        <v>2184.6219476004003</v>
      </c>
      <c r="AB17" s="32">
        <v>198582.14008337332</v>
      </c>
      <c r="AC17" s="42">
        <v>169072.05805239963</v>
      </c>
      <c r="AD17" s="56">
        <v>90.900002310009256</v>
      </c>
      <c r="AE17" s="175">
        <v>15368650.467521146</v>
      </c>
      <c r="AF17" s="59"/>
      <c r="AG17" s="45"/>
      <c r="AH17" s="60"/>
      <c r="AI17" s="39"/>
      <c r="AJ17" s="39"/>
      <c r="AK17" s="58"/>
      <c r="AL17" s="176">
        <f>+Table2[[#This Row],[Inv Amt in USD for Discounting]]</f>
        <v>190285.2</v>
      </c>
      <c r="AM17" s="32"/>
      <c r="AN17" s="31">
        <f>+Table2[[#This Row],[Receipt Amount USD]]*Table2[[#This Row],[Conversion Rate for receipt (USD/INR)]]</f>
        <v>0</v>
      </c>
      <c r="AO17" s="39"/>
      <c r="AP17" s="46"/>
      <c r="AQ17" s="42">
        <f>+Table2[[#This Row],[Receipt in INR]]</f>
        <v>0</v>
      </c>
      <c r="AR17" s="47">
        <f t="shared" si="1"/>
        <v>0</v>
      </c>
      <c r="AS17" s="61">
        <f t="shared" si="2"/>
        <v>46099</v>
      </c>
      <c r="AT17" s="62">
        <f t="shared" si="3"/>
        <v>0</v>
      </c>
      <c r="AU17" s="177"/>
      <c r="AV17" s="182"/>
      <c r="AY17" s="48"/>
      <c r="BA17" s="48"/>
      <c r="BB17" s="178"/>
      <c r="BC17" s="179"/>
      <c r="BD17" s="48"/>
      <c r="BE17" s="48"/>
    </row>
    <row r="18" spans="1:57" s="33" customFormat="1" hidden="1" x14ac:dyDescent="0.25">
      <c r="A18" s="181">
        <v>38</v>
      </c>
      <c r="B18" s="38" t="s">
        <v>43</v>
      </c>
      <c r="C18" s="2">
        <v>81192</v>
      </c>
      <c r="D18" s="21"/>
      <c r="E18" s="245" t="s">
        <v>330</v>
      </c>
      <c r="F18" s="2" t="s">
        <v>299</v>
      </c>
      <c r="G18" s="37" t="s">
        <v>68</v>
      </c>
      <c r="H18" s="39">
        <v>46098</v>
      </c>
      <c r="I18" s="32">
        <v>197722.8</v>
      </c>
      <c r="J18" s="40">
        <v>0.9</v>
      </c>
      <c r="K18" s="41">
        <v>177950.52</v>
      </c>
      <c r="L18" s="41">
        <v>90.8</v>
      </c>
      <c r="M18" s="41">
        <v>17953230.239999998</v>
      </c>
      <c r="N18" s="41">
        <v>16157907.215999998</v>
      </c>
      <c r="O18" s="39">
        <v>46157</v>
      </c>
      <c r="P18" s="58">
        <v>1562110</v>
      </c>
      <c r="Q18" s="39">
        <v>46098</v>
      </c>
      <c r="R18" s="174"/>
      <c r="S18" s="39"/>
      <c r="T18" s="39">
        <v>46106</v>
      </c>
      <c r="U18" s="39">
        <v>46172</v>
      </c>
      <c r="V18" s="42">
        <v>160155.46799999999</v>
      </c>
      <c r="W18" s="42">
        <v>14558132.411160612</v>
      </c>
      <c r="X18" s="42">
        <v>17795.051999999996</v>
      </c>
      <c r="Y18" s="43">
        <v>5.9640400000000003E-2</v>
      </c>
      <c r="Z18" s="44">
        <v>68</v>
      </c>
      <c r="AA18" s="42">
        <v>1804.2168328113601</v>
      </c>
      <c r="AB18" s="32">
        <v>164003.31427031022</v>
      </c>
      <c r="AC18" s="42">
        <v>158351.25116718863</v>
      </c>
      <c r="AD18" s="56">
        <v>90.900002310009256</v>
      </c>
      <c r="AE18" s="175">
        <v>14394129.096890302</v>
      </c>
      <c r="AF18" s="59"/>
      <c r="AG18" s="45"/>
      <c r="AH18" s="60"/>
      <c r="AI18" s="39"/>
      <c r="AJ18" s="39">
        <v>46139</v>
      </c>
      <c r="AK18" s="58"/>
      <c r="AL18" s="176">
        <f>+Table2[[#This Row],[Inv Amt in USD for Discounting]]</f>
        <v>177950.52</v>
      </c>
      <c r="AM18" s="32">
        <v>94.129900000000006</v>
      </c>
      <c r="AN18" s="31">
        <f>+Table2[[#This Row],[Receipt Amount USD]]*Table2[[#This Row],[Conversion Rate for receipt (USD/INR)]]</f>
        <v>16750464.652548</v>
      </c>
      <c r="AO18" s="180">
        <f>+AJ18</f>
        <v>46139</v>
      </c>
      <c r="AP18" s="46"/>
      <c r="AQ18" s="42">
        <f>+Table2[[#This Row],[Receipt in INR]]</f>
        <v>16750464.652548</v>
      </c>
      <c r="AR18" s="47">
        <f t="shared" si="1"/>
        <v>1675046.4652547997</v>
      </c>
      <c r="AS18" s="61"/>
      <c r="AT18" s="62"/>
      <c r="AU18" s="177"/>
      <c r="AV18" s="182"/>
      <c r="AY18" s="48"/>
      <c r="BA18" s="48"/>
      <c r="BB18" s="178"/>
      <c r="BC18" s="179"/>
      <c r="BD18" s="48"/>
      <c r="BE18" s="48"/>
    </row>
    <row r="19" spans="1:57" s="33" customFormat="1" hidden="1" x14ac:dyDescent="0.25">
      <c r="A19" s="181">
        <v>38</v>
      </c>
      <c r="B19" s="38" t="s">
        <v>43</v>
      </c>
      <c r="C19" s="2">
        <v>81192</v>
      </c>
      <c r="D19" s="21"/>
      <c r="E19" s="38" t="s">
        <v>331</v>
      </c>
      <c r="F19" s="2" t="s">
        <v>299</v>
      </c>
      <c r="G19" s="37" t="s">
        <v>68</v>
      </c>
      <c r="H19" s="39">
        <v>46101</v>
      </c>
      <c r="I19" s="32">
        <v>194277.63</v>
      </c>
      <c r="J19" s="40">
        <v>0.9</v>
      </c>
      <c r="K19" s="41">
        <v>174849.867</v>
      </c>
      <c r="L19" s="41">
        <v>90.8</v>
      </c>
      <c r="M19" s="41">
        <v>17640408.804000001</v>
      </c>
      <c r="N19" s="41">
        <v>15876367.923600001</v>
      </c>
      <c r="O19" s="39">
        <v>46160</v>
      </c>
      <c r="P19" s="58">
        <v>1662487</v>
      </c>
      <c r="Q19" s="39">
        <v>46101</v>
      </c>
      <c r="R19" s="174"/>
      <c r="S19" s="39"/>
      <c r="T19" s="39">
        <v>46106</v>
      </c>
      <c r="U19" s="39">
        <v>46175</v>
      </c>
      <c r="V19" s="42">
        <v>157364.88029999999</v>
      </c>
      <c r="W19" s="42">
        <v>14304467.982784329</v>
      </c>
      <c r="X19" s="42">
        <v>17484.986700000009</v>
      </c>
      <c r="Y19" s="43">
        <v>5.9640400000000003E-2</v>
      </c>
      <c r="Z19" s="44">
        <v>71</v>
      </c>
      <c r="AA19" s="42">
        <v>1850.9905913892567</v>
      </c>
      <c r="AB19" s="32">
        <v>168255.04903308884</v>
      </c>
      <c r="AC19" s="42">
        <v>155513.88970861075</v>
      </c>
      <c r="AD19" s="56">
        <v>90.900002310009256</v>
      </c>
      <c r="AE19" s="175">
        <v>14136212.93375124</v>
      </c>
      <c r="AF19" s="59"/>
      <c r="AG19" s="45"/>
      <c r="AH19" s="60"/>
      <c r="AI19" s="39"/>
      <c r="AJ19" s="39"/>
      <c r="AK19" s="58"/>
      <c r="AL19" s="176">
        <f>+Table2[[#This Row],[Inv Amt in USD for Discounting]]</f>
        <v>174849.867</v>
      </c>
      <c r="AM19" s="32"/>
      <c r="AN19" s="31">
        <f>+Table2[[#This Row],[Receipt Amount USD]]*Table2[[#This Row],[Conversion Rate for receipt (USD/INR)]]</f>
        <v>0</v>
      </c>
      <c r="AO19" s="39"/>
      <c r="AP19" s="46"/>
      <c r="AQ19" s="42">
        <f>+Table2[[#This Row],[Receipt in INR]]</f>
        <v>0</v>
      </c>
      <c r="AR19" s="47">
        <f t="shared" si="1"/>
        <v>0</v>
      </c>
      <c r="AS19" s="61">
        <f t="shared" si="2"/>
        <v>-1</v>
      </c>
      <c r="AT19" s="62">
        <f t="shared" si="3"/>
        <v>0</v>
      </c>
      <c r="AU19" s="177"/>
      <c r="AV19" s="182"/>
      <c r="AY19" s="48"/>
      <c r="BA19" s="48"/>
      <c r="BB19" s="178"/>
      <c r="BC19" s="179"/>
      <c r="BD19" s="48"/>
      <c r="BE19" s="48"/>
    </row>
    <row r="20" spans="1:57" s="33" customFormat="1" x14ac:dyDescent="0.25">
      <c r="A20" s="181">
        <v>38</v>
      </c>
      <c r="B20" s="38" t="s">
        <v>43</v>
      </c>
      <c r="C20" s="2">
        <v>77489</v>
      </c>
      <c r="D20" s="21"/>
      <c r="E20" s="38" t="s">
        <v>332</v>
      </c>
      <c r="F20" s="2" t="s">
        <v>297</v>
      </c>
      <c r="G20" s="37" t="s">
        <v>68</v>
      </c>
      <c r="H20" s="39">
        <v>46103</v>
      </c>
      <c r="I20" s="32">
        <v>253713.6</v>
      </c>
      <c r="J20" s="40">
        <v>0.9</v>
      </c>
      <c r="K20" s="41">
        <v>228342.24000000002</v>
      </c>
      <c r="L20" s="41">
        <v>90.8</v>
      </c>
      <c r="M20" s="41">
        <v>23037194.879999999</v>
      </c>
      <c r="N20" s="41">
        <v>20733475.392000001</v>
      </c>
      <c r="O20" s="39">
        <v>46162</v>
      </c>
      <c r="P20" s="58">
        <v>1702303</v>
      </c>
      <c r="Q20" s="39">
        <v>46103</v>
      </c>
      <c r="R20" s="174"/>
      <c r="S20" s="39"/>
      <c r="T20" s="39">
        <v>46106</v>
      </c>
      <c r="U20" s="39">
        <v>46177</v>
      </c>
      <c r="V20" s="42">
        <v>205508.01600000003</v>
      </c>
      <c r="W20" s="42">
        <v>18680679.129125424</v>
      </c>
      <c r="X20" s="42">
        <v>22834.223999999987</v>
      </c>
      <c r="Y20" s="43">
        <v>5.9640400000000003E-2</v>
      </c>
      <c r="Z20" s="44">
        <v>73</v>
      </c>
      <c r="AA20" s="42">
        <v>2485.3621118155206</v>
      </c>
      <c r="AB20" s="32">
        <v>225919.4217052403</v>
      </c>
      <c r="AC20" s="42">
        <v>203022.65388818452</v>
      </c>
      <c r="AD20" s="56">
        <v>90.900002310009256</v>
      </c>
      <c r="AE20" s="175">
        <v>18454759.707420185</v>
      </c>
      <c r="AF20" s="59"/>
      <c r="AG20" s="45"/>
      <c r="AH20" s="60"/>
      <c r="AI20" s="39"/>
      <c r="AJ20" s="39"/>
      <c r="AK20" s="58"/>
      <c r="AL20" s="176">
        <f>+Table2[[#This Row],[Inv Amt in USD for Discounting]]</f>
        <v>228342.24000000002</v>
      </c>
      <c r="AM20" s="32"/>
      <c r="AN20" s="31">
        <f>+Table2[[#This Row],[Receipt Amount USD]]*Table2[[#This Row],[Conversion Rate for receipt (USD/INR)]]</f>
        <v>0</v>
      </c>
      <c r="AO20" s="39"/>
      <c r="AP20" s="46"/>
      <c r="AQ20" s="42">
        <f>+Table2[[#This Row],[Receipt in INR]]</f>
        <v>0</v>
      </c>
      <c r="AR20" s="47">
        <f t="shared" si="1"/>
        <v>0</v>
      </c>
      <c r="AS20" s="61">
        <f t="shared" si="2"/>
        <v>-1</v>
      </c>
      <c r="AT20" s="62">
        <f t="shared" si="3"/>
        <v>0</v>
      </c>
      <c r="AU20" s="177"/>
      <c r="AV20" s="182"/>
      <c r="AY20" s="48"/>
      <c r="BA20" s="48"/>
      <c r="BB20" s="178"/>
      <c r="BC20" s="179"/>
      <c r="BD20" s="48"/>
      <c r="BE20" s="48"/>
    </row>
    <row r="21" spans="1:57" s="33" customFormat="1" x14ac:dyDescent="0.25">
      <c r="A21" s="181">
        <v>39</v>
      </c>
      <c r="B21" s="38" t="s">
        <v>43</v>
      </c>
      <c r="C21" s="2">
        <v>77489</v>
      </c>
      <c r="D21" s="21"/>
      <c r="E21" s="38" t="s">
        <v>333</v>
      </c>
      <c r="F21" s="2" t="s">
        <v>297</v>
      </c>
      <c r="G21" s="37" t="s">
        <v>68</v>
      </c>
      <c r="H21" s="39">
        <v>46104</v>
      </c>
      <c r="I21" s="32">
        <v>169142.39999999999</v>
      </c>
      <c r="J21" s="40">
        <v>0.9</v>
      </c>
      <c r="K21" s="41">
        <v>152228.16</v>
      </c>
      <c r="L21" s="41">
        <v>90.8</v>
      </c>
      <c r="M21" s="41">
        <v>15358129.919999998</v>
      </c>
      <c r="N21" s="41">
        <v>13822316.927999999</v>
      </c>
      <c r="O21" s="39">
        <v>46163</v>
      </c>
      <c r="P21" s="58">
        <v>1724621</v>
      </c>
      <c r="Q21" s="39">
        <v>46104</v>
      </c>
      <c r="R21" s="174"/>
      <c r="S21" s="39"/>
      <c r="T21" s="39">
        <v>46111</v>
      </c>
      <c r="U21" s="39">
        <v>46178</v>
      </c>
      <c r="V21" s="42">
        <v>137005.34400000001</v>
      </c>
      <c r="W21" s="42">
        <v>12453786.086083613</v>
      </c>
      <c r="X21" s="42">
        <v>15222.815999999992</v>
      </c>
      <c r="Y21" s="43">
        <v>5.9640400000000003E-2</v>
      </c>
      <c r="Z21" s="44">
        <v>67</v>
      </c>
      <c r="AA21" s="42">
        <v>1520.72384923872</v>
      </c>
      <c r="AB21" s="32">
        <v>138233.80140868583</v>
      </c>
      <c r="AC21" s="42">
        <v>135484.6201507613</v>
      </c>
      <c r="AD21" s="56">
        <v>90.900002310009256</v>
      </c>
      <c r="AE21" s="175">
        <v>12315552.284674928</v>
      </c>
      <c r="AF21" s="59"/>
      <c r="AG21" s="45"/>
      <c r="AH21" s="60"/>
      <c r="AI21" s="39"/>
      <c r="AJ21" s="39"/>
      <c r="AK21" s="58"/>
      <c r="AL21" s="176">
        <f>+Table2[[#This Row],[Inv Amt in USD for Discounting]]</f>
        <v>152228.16</v>
      </c>
      <c r="AM21" s="32"/>
      <c r="AN21" s="31">
        <f>+Table2[[#This Row],[Receipt Amount USD]]*Table2[[#This Row],[Conversion Rate for receipt (USD/INR)]]</f>
        <v>0</v>
      </c>
      <c r="AO21" s="39"/>
      <c r="AP21" s="46"/>
      <c r="AQ21" s="42">
        <f>+Table2[[#This Row],[Receipt in INR]]</f>
        <v>0</v>
      </c>
      <c r="AR21" s="47">
        <f t="shared" si="1"/>
        <v>0</v>
      </c>
      <c r="AS21" s="61">
        <f t="shared" si="2"/>
        <v>-1</v>
      </c>
      <c r="AT21" s="62">
        <f t="shared" si="3"/>
        <v>0</v>
      </c>
      <c r="AU21" s="177"/>
      <c r="AV21" s="182"/>
      <c r="AY21" s="48"/>
      <c r="BA21" s="48"/>
      <c r="BB21" s="178"/>
      <c r="BC21" s="179"/>
      <c r="BD21" s="48"/>
      <c r="BE21" s="48"/>
    </row>
    <row r="22" spans="1:57" s="33" customFormat="1" x14ac:dyDescent="0.25">
      <c r="A22" s="181">
        <v>40</v>
      </c>
      <c r="B22" s="38" t="s">
        <v>43</v>
      </c>
      <c r="C22" s="2">
        <v>77489</v>
      </c>
      <c r="D22" s="21"/>
      <c r="E22" s="38" t="s">
        <v>334</v>
      </c>
      <c r="F22" s="2" t="s">
        <v>297</v>
      </c>
      <c r="G22" s="37" t="s">
        <v>68</v>
      </c>
      <c r="H22" s="39">
        <v>46106</v>
      </c>
      <c r="I22" s="32">
        <v>175784</v>
      </c>
      <c r="J22" s="40">
        <v>0.9</v>
      </c>
      <c r="K22" s="41">
        <v>158205.6</v>
      </c>
      <c r="L22" s="41">
        <v>92.55</v>
      </c>
      <c r="M22" s="41">
        <v>16268809.199999999</v>
      </c>
      <c r="N22" s="41">
        <v>14641928.279999999</v>
      </c>
      <c r="O22" s="39">
        <v>46165</v>
      </c>
      <c r="P22" s="58">
        <v>1810963</v>
      </c>
      <c r="Q22" s="39">
        <v>46106</v>
      </c>
      <c r="R22" s="174"/>
      <c r="S22" s="39"/>
      <c r="T22" s="39">
        <v>46111</v>
      </c>
      <c r="U22" s="39">
        <v>46180</v>
      </c>
      <c r="V22" s="42">
        <v>142385.04</v>
      </c>
      <c r="W22" s="42">
        <v>12942800.464910761</v>
      </c>
      <c r="X22" s="42">
        <v>15820.559999999998</v>
      </c>
      <c r="Y22" s="43">
        <v>5.9640400000000003E-2</v>
      </c>
      <c r="Z22" s="44">
        <v>69</v>
      </c>
      <c r="AA22" s="42">
        <v>1627.6143084264002</v>
      </c>
      <c r="AB22" s="32">
        <v>147950.1443957639</v>
      </c>
      <c r="AC22" s="42">
        <v>140757.42569157362</v>
      </c>
      <c r="AD22" s="56">
        <v>90.900002310009256</v>
      </c>
      <c r="AE22" s="175">
        <v>12794850.320514997</v>
      </c>
      <c r="AF22" s="59"/>
      <c r="AG22" s="45"/>
      <c r="AH22" s="60"/>
      <c r="AI22" s="39"/>
      <c r="AJ22" s="39"/>
      <c r="AK22" s="58"/>
      <c r="AL22" s="176">
        <f>+Table2[[#This Row],[Inv Amt in USD for Discounting]]</f>
        <v>158205.6</v>
      </c>
      <c r="AM22" s="32"/>
      <c r="AN22" s="31">
        <f>+Table2[[#This Row],[Receipt Amount USD]]*Table2[[#This Row],[Conversion Rate for receipt (USD/INR)]]</f>
        <v>0</v>
      </c>
      <c r="AO22" s="39"/>
      <c r="AP22" s="46"/>
      <c r="AQ22" s="42">
        <f>+Table2[[#This Row],[Receipt in INR]]</f>
        <v>0</v>
      </c>
      <c r="AR22" s="47">
        <f t="shared" si="1"/>
        <v>0</v>
      </c>
      <c r="AS22" s="61">
        <f t="shared" si="2"/>
        <v>-1</v>
      </c>
      <c r="AT22" s="62">
        <f t="shared" si="3"/>
        <v>0</v>
      </c>
      <c r="AU22" s="177"/>
      <c r="AV22" s="182"/>
      <c r="AY22" s="48"/>
      <c r="BA22" s="48"/>
      <c r="BB22" s="178"/>
      <c r="BC22" s="179"/>
      <c r="BD22" s="48"/>
      <c r="BE22" s="48"/>
    </row>
    <row r="23" spans="1:57" s="33" customFormat="1" x14ac:dyDescent="0.25">
      <c r="A23" s="181">
        <v>40</v>
      </c>
      <c r="B23" s="38" t="s">
        <v>43</v>
      </c>
      <c r="C23" s="2">
        <v>77489</v>
      </c>
      <c r="D23" s="21"/>
      <c r="E23" s="38" t="s">
        <v>335</v>
      </c>
      <c r="F23" s="2" t="s">
        <v>297</v>
      </c>
      <c r="G23" s="37" t="s">
        <v>68</v>
      </c>
      <c r="H23" s="39">
        <v>46107</v>
      </c>
      <c r="I23" s="32">
        <v>137758.79999999999</v>
      </c>
      <c r="J23" s="40">
        <v>0.9</v>
      </c>
      <c r="K23" s="41">
        <v>123982.92</v>
      </c>
      <c r="L23" s="41">
        <v>92.55</v>
      </c>
      <c r="M23" s="41">
        <v>12749576.939999998</v>
      </c>
      <c r="N23" s="41">
        <v>11474619.245999997</v>
      </c>
      <c r="O23" s="39">
        <v>46166</v>
      </c>
      <c r="P23" s="58">
        <v>1848879</v>
      </c>
      <c r="Q23" s="39">
        <v>46107</v>
      </c>
      <c r="R23" s="174"/>
      <c r="S23" s="39"/>
      <c r="T23" s="39">
        <v>46111</v>
      </c>
      <c r="U23" s="39">
        <v>46181</v>
      </c>
      <c r="V23" s="42">
        <v>111584.628</v>
      </c>
      <c r="W23" s="42">
        <v>10143042.942961523</v>
      </c>
      <c r="X23" s="42">
        <v>12398.292000000001</v>
      </c>
      <c r="Y23" s="43">
        <v>5.9640400000000003E-2</v>
      </c>
      <c r="Z23" s="44">
        <v>70</v>
      </c>
      <c r="AA23" s="42">
        <v>1294.0184148444</v>
      </c>
      <c r="AB23" s="32">
        <v>117626.27689855048</v>
      </c>
      <c r="AC23" s="42">
        <v>110290.6095851556</v>
      </c>
      <c r="AD23" s="56">
        <v>90.900002310009256</v>
      </c>
      <c r="AE23" s="175">
        <v>10025416.666062973</v>
      </c>
      <c r="AF23" s="59"/>
      <c r="AG23" s="45"/>
      <c r="AH23" s="60"/>
      <c r="AI23" s="39"/>
      <c r="AJ23" s="39"/>
      <c r="AK23" s="58"/>
      <c r="AL23" s="176">
        <f>+Table2[[#This Row],[Inv Amt in USD for Discounting]]</f>
        <v>123982.92</v>
      </c>
      <c r="AM23" s="32"/>
      <c r="AN23" s="31">
        <f>+Table2[[#This Row],[Receipt Amount USD]]*Table2[[#This Row],[Conversion Rate for receipt (USD/INR)]]</f>
        <v>0</v>
      </c>
      <c r="AO23" s="39"/>
      <c r="AP23" s="46"/>
      <c r="AQ23" s="42">
        <f>+Table2[[#This Row],[Receipt in INR]]</f>
        <v>0</v>
      </c>
      <c r="AR23" s="47">
        <f t="shared" si="1"/>
        <v>0</v>
      </c>
      <c r="AS23" s="61">
        <f t="shared" si="2"/>
        <v>-1</v>
      </c>
      <c r="AT23" s="62">
        <f t="shared" si="3"/>
        <v>0</v>
      </c>
      <c r="AU23" s="177"/>
      <c r="AV23" s="182"/>
      <c r="AY23" s="48"/>
      <c r="BA23" s="48"/>
      <c r="BB23" s="178"/>
      <c r="BC23" s="179"/>
      <c r="BD23" s="48"/>
      <c r="BE23" s="48"/>
    </row>
    <row r="24" spans="1:57" s="33" customFormat="1" x14ac:dyDescent="0.25">
      <c r="A24" s="181">
        <v>40</v>
      </c>
      <c r="B24" s="38" t="s">
        <v>43</v>
      </c>
      <c r="C24" s="2">
        <v>77489</v>
      </c>
      <c r="D24" s="21"/>
      <c r="E24" s="38" t="s">
        <v>336</v>
      </c>
      <c r="F24" s="2" t="s">
        <v>297</v>
      </c>
      <c r="G24" s="37" t="s">
        <v>68</v>
      </c>
      <c r="H24" s="39">
        <v>46108</v>
      </c>
      <c r="I24" s="32">
        <v>98585.2</v>
      </c>
      <c r="J24" s="40">
        <v>0.9</v>
      </c>
      <c r="K24" s="41">
        <v>88726.68</v>
      </c>
      <c r="L24" s="41">
        <v>92.55</v>
      </c>
      <c r="M24" s="41">
        <v>9124060.2599999998</v>
      </c>
      <c r="N24" s="41">
        <v>8211654.2340000002</v>
      </c>
      <c r="O24" s="39">
        <v>46167</v>
      </c>
      <c r="P24" s="58">
        <v>1881243</v>
      </c>
      <c r="Q24" s="39">
        <v>46108</v>
      </c>
      <c r="R24" s="174" t="s">
        <v>295</v>
      </c>
      <c r="S24" s="39"/>
      <c r="T24" s="39">
        <v>46111</v>
      </c>
      <c r="U24" s="39">
        <v>46182</v>
      </c>
      <c r="V24" s="42">
        <v>79854.012000000002</v>
      </c>
      <c r="W24" s="42">
        <v>7258729.8752635075</v>
      </c>
      <c r="X24" s="42">
        <v>8872.6679999999906</v>
      </c>
      <c r="Y24" s="43">
        <v>5.9640400000000003E-2</v>
      </c>
      <c r="Z24" s="44">
        <v>71</v>
      </c>
      <c r="AA24" s="42">
        <v>939.27580674228</v>
      </c>
      <c r="AB24" s="32">
        <v>85380.173002609066</v>
      </c>
      <c r="AC24" s="42">
        <v>78914.736193257719</v>
      </c>
      <c r="AD24" s="56">
        <v>90.900002310009256</v>
      </c>
      <c r="AE24" s="175">
        <v>7173349.7022608984</v>
      </c>
      <c r="AF24" s="59"/>
      <c r="AG24" s="45"/>
      <c r="AH24" s="60"/>
      <c r="AI24" s="39"/>
      <c r="AJ24" s="39"/>
      <c r="AK24" s="58"/>
      <c r="AL24" s="176">
        <f>+Table2[[#This Row],[Inv Amt in USD for Discounting]]</f>
        <v>88726.68</v>
      </c>
      <c r="AM24" s="32"/>
      <c r="AN24" s="31">
        <f>+Table2[[#This Row],[Receipt Amount USD]]*Table2[[#This Row],[Conversion Rate for receipt (USD/INR)]]</f>
        <v>0</v>
      </c>
      <c r="AO24" s="39"/>
      <c r="AP24" s="46"/>
      <c r="AQ24" s="42">
        <f>+Table2[[#This Row],[Receipt in INR]]</f>
        <v>0</v>
      </c>
      <c r="AR24" s="47">
        <f t="shared" si="1"/>
        <v>0</v>
      </c>
      <c r="AS24" s="61">
        <f t="shared" si="2"/>
        <v>-1</v>
      </c>
      <c r="AT24" s="62">
        <f t="shared" si="3"/>
        <v>0</v>
      </c>
      <c r="AU24" s="177"/>
      <c r="AV24" s="182"/>
      <c r="AY24" s="48"/>
      <c r="BA24" s="48"/>
      <c r="BB24" s="178"/>
      <c r="BC24" s="179"/>
      <c r="BD24" s="48"/>
      <c r="BE24" s="48"/>
    </row>
    <row r="25" spans="1:57" s="33" customFormat="1" x14ac:dyDescent="0.25">
      <c r="A25" s="181">
        <v>41</v>
      </c>
      <c r="B25" s="38" t="s">
        <v>43</v>
      </c>
      <c r="C25" s="2">
        <v>77489</v>
      </c>
      <c r="D25" s="21"/>
      <c r="E25" s="38" t="s">
        <v>337</v>
      </c>
      <c r="F25" s="2" t="s">
        <v>297</v>
      </c>
      <c r="G25" s="37" t="s">
        <v>68</v>
      </c>
      <c r="H25" s="39">
        <v>46110</v>
      </c>
      <c r="I25" s="32">
        <v>89825.84</v>
      </c>
      <c r="J25" s="40">
        <v>0.9</v>
      </c>
      <c r="K25" s="41">
        <v>80843.255999999994</v>
      </c>
      <c r="L25" s="41">
        <v>92.55</v>
      </c>
      <c r="M25" s="41">
        <v>8313381.4919999996</v>
      </c>
      <c r="N25" s="41">
        <v>7482043.3427999998</v>
      </c>
      <c r="O25" s="39">
        <v>46169</v>
      </c>
      <c r="P25" s="58">
        <v>1932969</v>
      </c>
      <c r="Q25" s="39">
        <v>46110</v>
      </c>
      <c r="R25" s="174" t="s">
        <v>295</v>
      </c>
      <c r="S25" s="39"/>
      <c r="T25" s="39">
        <v>46119</v>
      </c>
      <c r="U25" s="39">
        <v>46184</v>
      </c>
      <c r="V25" s="42">
        <v>72758.930399999997</v>
      </c>
      <c r="W25" s="42">
        <v>6613786.9414338022</v>
      </c>
      <c r="X25" s="42">
        <v>8084.3255999999965</v>
      </c>
      <c r="Y25" s="43">
        <v>5.9640400000000003E-2</v>
      </c>
      <c r="Z25" s="44">
        <v>73</v>
      </c>
      <c r="AA25" s="42">
        <v>879.9281528384879</v>
      </c>
      <c r="AB25" s="32">
        <v>79985.471125660726</v>
      </c>
      <c r="AC25" s="42">
        <v>71879.002247161508</v>
      </c>
      <c r="AD25" s="56">
        <v>90.900002310009256</v>
      </c>
      <c r="AE25" s="175">
        <v>6533801.4703081418</v>
      </c>
      <c r="AF25" s="59"/>
      <c r="AG25" s="45"/>
      <c r="AH25" s="60"/>
      <c r="AI25" s="39"/>
      <c r="AJ25" s="39"/>
      <c r="AK25" s="58"/>
      <c r="AL25" s="176">
        <f>+Table2[[#This Row],[Inv Amt in USD for Discounting]]</f>
        <v>80843.255999999994</v>
      </c>
      <c r="AM25" s="32"/>
      <c r="AN25" s="31">
        <f>+Table2[[#This Row],[Receipt Amount USD]]*Table2[[#This Row],[Conversion Rate for receipt (USD/INR)]]</f>
        <v>0</v>
      </c>
      <c r="AO25" s="39"/>
      <c r="AP25" s="46"/>
      <c r="AQ25" s="42">
        <f>+Table2[[#This Row],[Receipt in INR]]</f>
        <v>0</v>
      </c>
      <c r="AR25" s="47">
        <f t="shared" si="1"/>
        <v>0</v>
      </c>
      <c r="AS25" s="61">
        <f t="shared" si="2"/>
        <v>-1</v>
      </c>
      <c r="AT25" s="62">
        <f t="shared" si="3"/>
        <v>0</v>
      </c>
      <c r="AU25" s="177"/>
      <c r="AV25" s="182"/>
      <c r="AY25" s="48"/>
      <c r="BA25" s="48"/>
      <c r="BB25" s="178"/>
      <c r="BC25" s="179"/>
      <c r="BD25" s="48"/>
      <c r="BE25" s="48"/>
    </row>
    <row r="26" spans="1:57" s="33" customFormat="1" hidden="1" x14ac:dyDescent="0.25">
      <c r="A26" s="181">
        <v>1</v>
      </c>
      <c r="B26" s="38" t="s">
        <v>43</v>
      </c>
      <c r="C26" s="2">
        <v>81676</v>
      </c>
      <c r="D26" s="21"/>
      <c r="E26" s="38" t="s">
        <v>293</v>
      </c>
      <c r="F26" s="2" t="s">
        <v>294</v>
      </c>
      <c r="G26" s="37" t="s">
        <v>68</v>
      </c>
      <c r="H26" s="39">
        <v>46115</v>
      </c>
      <c r="I26" s="32">
        <v>163386.57</v>
      </c>
      <c r="J26" s="40">
        <v>0.9</v>
      </c>
      <c r="K26" s="41">
        <f t="shared" ref="K26:K27" si="4">+I26*J26</f>
        <v>147047.913</v>
      </c>
      <c r="L26" s="41">
        <v>92.1</v>
      </c>
      <c r="M26" s="41">
        <f t="shared" ref="M26:M27" si="5">+I26*L26</f>
        <v>15047903.096999999</v>
      </c>
      <c r="N26" s="41">
        <f t="shared" ref="N26:N27" si="6">+M26*0.9</f>
        <v>13543112.7873</v>
      </c>
      <c r="O26" s="39">
        <f t="shared" ref="O26:O27" si="7">+H26+59</f>
        <v>46174</v>
      </c>
      <c r="P26" s="58">
        <v>2099304</v>
      </c>
      <c r="Q26" s="39">
        <v>46115</v>
      </c>
      <c r="R26" s="174" t="s">
        <v>295</v>
      </c>
      <c r="S26" s="39"/>
      <c r="T26" s="39">
        <v>46122</v>
      </c>
      <c r="U26" s="39">
        <f t="shared" ref="U26:U27" si="8">+H26+74</f>
        <v>46189</v>
      </c>
      <c r="V26" s="42">
        <f t="shared" ref="V26:V27" si="9">+K26*0.9</f>
        <v>132343.12170000002</v>
      </c>
      <c r="W26" s="42">
        <f t="shared" ref="W26:W27" si="10">+V26*AD26</f>
        <v>12029990.068243837</v>
      </c>
      <c r="X26" s="42">
        <f t="shared" ref="X26:X27" si="11">K26-V26</f>
        <v>14704.791299999983</v>
      </c>
      <c r="Y26" s="43">
        <v>5.9640400000000003E-2</v>
      </c>
      <c r="Z26" s="44">
        <f t="shared" ref="Z26:Z27" si="12">+O26-T26+15</f>
        <v>67</v>
      </c>
      <c r="AA26" s="42">
        <f t="shared" ref="AA26:AA27" si="13">+V26*Y26*Z26/360</f>
        <v>1468.9743887062712</v>
      </c>
      <c r="AB26" s="32">
        <f t="shared" ref="AB26:AB27" si="14">+AA26*AD26</f>
        <v>133529.77532674448</v>
      </c>
      <c r="AC26" s="42">
        <f t="shared" ref="AC26:AC27" si="15">+V26-AA26</f>
        <v>130874.14731129375</v>
      </c>
      <c r="AD26" s="56">
        <v>90.900002310009256</v>
      </c>
      <c r="AE26" s="175">
        <f t="shared" ref="AE26:AE27" si="16">+W26-AB26</f>
        <v>11896460.292917093</v>
      </c>
      <c r="AF26" s="59"/>
      <c r="AG26" s="45"/>
      <c r="AH26" s="60"/>
      <c r="AI26" s="39"/>
      <c r="AJ26" s="39"/>
      <c r="AK26" s="58"/>
      <c r="AL26" s="176">
        <f>+Table2[[#This Row],[Inv Amt in USD for Discounting]]</f>
        <v>147047.913</v>
      </c>
      <c r="AM26" s="32"/>
      <c r="AN26" s="31">
        <f>+Table2[[#This Row],[Receipt Amount USD]]*Table2[[#This Row],[Conversion Rate for receipt (USD/INR)]]</f>
        <v>0</v>
      </c>
      <c r="AO26" s="39"/>
      <c r="AP26" s="46"/>
      <c r="AQ26" s="42">
        <f>+Table2[[#This Row],[Receipt in INR]]</f>
        <v>0</v>
      </c>
      <c r="AR26" s="47">
        <f t="shared" si="1"/>
        <v>0</v>
      </c>
      <c r="AS26" s="61">
        <f t="shared" si="2"/>
        <v>-1</v>
      </c>
      <c r="AT26" s="62">
        <f t="shared" si="3"/>
        <v>0</v>
      </c>
      <c r="AU26" s="177"/>
      <c r="AV26" s="182"/>
      <c r="AY26" s="48"/>
      <c r="BA26" s="48"/>
      <c r="BB26" s="178"/>
      <c r="BC26" s="179"/>
      <c r="BD26" s="48"/>
      <c r="BE26" s="48"/>
    </row>
    <row r="27" spans="1:57" s="33" customFormat="1" x14ac:dyDescent="0.25">
      <c r="A27" s="181">
        <v>1</v>
      </c>
      <c r="B27" s="38" t="s">
        <v>43</v>
      </c>
      <c r="C27" s="2">
        <v>77489</v>
      </c>
      <c r="D27" s="21"/>
      <c r="E27" s="38" t="s">
        <v>296</v>
      </c>
      <c r="F27" s="2" t="s">
        <v>297</v>
      </c>
      <c r="G27" s="37" t="s">
        <v>68</v>
      </c>
      <c r="H27" s="39">
        <v>46117</v>
      </c>
      <c r="I27" s="32">
        <v>112279.26</v>
      </c>
      <c r="J27" s="40">
        <v>0.9</v>
      </c>
      <c r="K27" s="41">
        <f t="shared" si="4"/>
        <v>101051.334</v>
      </c>
      <c r="L27" s="41">
        <v>92.1</v>
      </c>
      <c r="M27" s="41">
        <f t="shared" si="5"/>
        <v>10340919.845999999</v>
      </c>
      <c r="N27" s="41">
        <f t="shared" si="6"/>
        <v>9306827.8613999989</v>
      </c>
      <c r="O27" s="39">
        <f t="shared" si="7"/>
        <v>46176</v>
      </c>
      <c r="P27" s="58">
        <v>2136985</v>
      </c>
      <c r="Q27" s="39">
        <v>46117</v>
      </c>
      <c r="R27" s="174"/>
      <c r="S27" s="39"/>
      <c r="T27" s="39">
        <v>46122</v>
      </c>
      <c r="U27" s="180">
        <f t="shared" si="8"/>
        <v>46191</v>
      </c>
      <c r="V27" s="42">
        <f t="shared" si="9"/>
        <v>90946.200600000011</v>
      </c>
      <c r="W27" s="42">
        <f t="shared" si="10"/>
        <v>8267009.8446265664</v>
      </c>
      <c r="X27" s="42">
        <f t="shared" si="11"/>
        <v>10105.133399999992</v>
      </c>
      <c r="Y27" s="43">
        <v>5.9640400000000003E-2</v>
      </c>
      <c r="Z27" s="44">
        <f t="shared" si="12"/>
        <v>69</v>
      </c>
      <c r="AA27" s="42">
        <f t="shared" si="13"/>
        <v>1039.6129916006462</v>
      </c>
      <c r="AB27" s="32">
        <f t="shared" si="14"/>
        <v>94500.823338014365</v>
      </c>
      <c r="AC27" s="42">
        <f t="shared" si="15"/>
        <v>89906.587608399364</v>
      </c>
      <c r="AD27" s="56">
        <v>90.900002310009256</v>
      </c>
      <c r="AE27" s="175">
        <f t="shared" si="16"/>
        <v>8172509.0212885523</v>
      </c>
      <c r="AF27" s="59"/>
      <c r="AG27" s="45"/>
      <c r="AH27" s="60"/>
      <c r="AI27" s="39"/>
      <c r="AJ27" s="39"/>
      <c r="AK27" s="58"/>
      <c r="AL27" s="176">
        <f>+Table2[[#This Row],[Inv Amt in USD for Discounting]]</f>
        <v>101051.334</v>
      </c>
      <c r="AM27" s="32"/>
      <c r="AN27" s="31">
        <f>+Table2[[#This Row],[Receipt Amount USD]]*Table2[[#This Row],[Conversion Rate for receipt (USD/INR)]]</f>
        <v>0</v>
      </c>
      <c r="AO27" s="39"/>
      <c r="AP27" s="46"/>
      <c r="AQ27" s="42">
        <f>+Table2[[#This Row],[Receipt in INR]]</f>
        <v>0</v>
      </c>
      <c r="AR27" s="47">
        <f t="shared" si="1"/>
        <v>0</v>
      </c>
      <c r="AS27" s="61">
        <f t="shared" si="2"/>
        <v>-1</v>
      </c>
      <c r="AT27" s="62">
        <f t="shared" si="3"/>
        <v>0</v>
      </c>
      <c r="AU27" s="177"/>
      <c r="AV27" s="182"/>
      <c r="AY27" s="48"/>
      <c r="BA27" s="48"/>
      <c r="BB27" s="178"/>
      <c r="BC27" s="179"/>
      <c r="BD27" s="48"/>
      <c r="BE27" s="48"/>
    </row>
    <row r="28" spans="1:57" s="22" customFormat="1" hidden="1" x14ac:dyDescent="0.25">
      <c r="A28" s="186" t="s">
        <v>25</v>
      </c>
      <c r="B28" s="187"/>
      <c r="C28" s="188"/>
      <c r="D28" s="35"/>
      <c r="E28" s="187"/>
      <c r="F28" s="34"/>
      <c r="G28" s="187"/>
      <c r="H28" s="189"/>
      <c r="I28" s="190">
        <f>SUM(I2:I27)</f>
        <v>3705683.5399999991</v>
      </c>
      <c r="J28" s="191"/>
      <c r="K28" s="190">
        <f>SUM(K2:K27)</f>
        <v>3335115.1860000007</v>
      </c>
      <c r="L28" s="190"/>
      <c r="M28" s="190">
        <f t="shared" ref="M28" si="17">SUM(M2:M27)</f>
        <v>336998239.94699997</v>
      </c>
      <c r="N28" s="190">
        <f>SUBTOTAL(109,N2:N27)</f>
        <v>172981185.9102</v>
      </c>
      <c r="O28" s="192"/>
      <c r="P28" s="190"/>
      <c r="Q28" s="188"/>
      <c r="R28" s="189"/>
      <c r="S28" s="193"/>
      <c r="T28" s="189"/>
      <c r="U28" s="189"/>
      <c r="V28" s="190">
        <f t="shared" ref="V28" si="18">SUM(V2:V27)</f>
        <v>3001603.6674000011</v>
      </c>
      <c r="W28" s="190">
        <f t="shared" ref="W28" si="19">SUM(W2:W27)</f>
        <v>273696327.25387716</v>
      </c>
      <c r="X28" s="190">
        <f t="shared" ref="X28" si="20">SUM(X2:X27)</f>
        <v>333511.51859999995</v>
      </c>
      <c r="Y28" s="194"/>
      <c r="Z28" s="190"/>
      <c r="AA28" s="190">
        <f t="shared" ref="AA28:AC28" si="21">SUM(AA2:AA27)</f>
        <v>35020.226916800406</v>
      </c>
      <c r="AB28" s="190">
        <f t="shared" si="21"/>
        <v>3192776.5284498562</v>
      </c>
      <c r="AC28" s="190">
        <f t="shared" si="21"/>
        <v>2966583.4404831999</v>
      </c>
      <c r="AD28" s="190"/>
      <c r="AE28" s="190">
        <f>SUM(AE2:AE27)</f>
        <v>270503550.72542745</v>
      </c>
      <c r="AF28" s="190"/>
      <c r="AG28" s="190"/>
      <c r="AH28" s="189"/>
      <c r="AI28" s="189"/>
      <c r="AJ28" s="189"/>
      <c r="AK28" s="195"/>
      <c r="AL28" s="196">
        <f>+Table2[[#This Row],[Inv Amt in USD for Discounting]]</f>
        <v>3335115.1860000007</v>
      </c>
      <c r="AM28" s="197"/>
      <c r="AN28" s="198">
        <f>+Table2[[#This Row],[Receipt Amount USD]]*Table2[[#This Row],[Conversion Rate for receipt (USD/INR)]]</f>
        <v>0</v>
      </c>
      <c r="AO28" s="189"/>
      <c r="AP28" s="199"/>
      <c r="AQ28" s="200">
        <f>+Table2[[#This Row],[Receipt in INR]]</f>
        <v>0</v>
      </c>
      <c r="AR28" s="201">
        <f t="shared" si="1"/>
        <v>0</v>
      </c>
      <c r="AS28" s="202">
        <f t="shared" si="2"/>
        <v>-1</v>
      </c>
      <c r="AT28" s="203">
        <f t="shared" si="3"/>
        <v>0</v>
      </c>
      <c r="AU28" s="204"/>
      <c r="AV28" s="205" t="e">
        <f>SUM(#REF!)</f>
        <v>#REF!</v>
      </c>
      <c r="BB28" s="50"/>
    </row>
    <row r="29" spans="1:57" hidden="1" x14ac:dyDescent="0.25">
      <c r="A29" s="246"/>
      <c r="B29" s="187"/>
      <c r="C29" s="34"/>
      <c r="D29" s="35"/>
      <c r="E29" s="187"/>
      <c r="F29" s="34"/>
      <c r="G29" s="247"/>
      <c r="H29" s="192"/>
      <c r="I29" s="248"/>
      <c r="J29" s="249"/>
      <c r="K29" s="250"/>
      <c r="L29" s="250"/>
      <c r="M29" s="250">
        <v>3134518.5520000001</v>
      </c>
      <c r="N29" s="250"/>
      <c r="O29" s="192"/>
      <c r="P29" s="251"/>
      <c r="Q29" s="192"/>
      <c r="R29" s="252"/>
      <c r="S29" s="192"/>
      <c r="T29" s="192"/>
      <c r="U29" s="192"/>
      <c r="V29" s="253"/>
      <c r="W29" s="253"/>
      <c r="X29" s="253"/>
      <c r="Y29" s="254"/>
      <c r="Z29" s="255"/>
      <c r="AA29" s="253"/>
      <c r="AB29" s="248"/>
      <c r="AC29" s="253"/>
      <c r="AD29" s="256"/>
      <c r="AE29" s="257"/>
      <c r="AF29" s="258"/>
      <c r="AG29" s="200"/>
      <c r="AH29" s="189"/>
      <c r="AI29" s="192"/>
      <c r="AJ29" s="192"/>
      <c r="AK29" s="251"/>
      <c r="AL29" s="259">
        <f>+Table2[[#This Row],[Inv Amt in USD for Discounting]]</f>
        <v>0</v>
      </c>
      <c r="AM29" s="248"/>
      <c r="AN29" s="260">
        <f>+Table2[[#This Row],[Receipt Amount USD]]*Table2[[#This Row],[Conversion Rate for receipt (USD/INR)]]</f>
        <v>0</v>
      </c>
      <c r="AO29" s="192"/>
      <c r="AP29" s="261"/>
      <c r="AQ29" s="253">
        <f>+Table2[[#This Row],[Receipt in INR]]</f>
        <v>0</v>
      </c>
      <c r="AR29" s="262">
        <f t="shared" si="1"/>
        <v>0</v>
      </c>
      <c r="AS29" s="263">
        <f t="shared" si="2"/>
        <v>-1</v>
      </c>
      <c r="AT29" s="264" t="e">
        <f t="shared" si="3"/>
        <v>#DIV/0!</v>
      </c>
      <c r="AU29" s="265"/>
      <c r="AV29" s="266"/>
      <c r="BB29"/>
    </row>
    <row r="30" spans="1:57" x14ac:dyDescent="0.25">
      <c r="A30" s="271"/>
      <c r="B30" s="35"/>
      <c r="C30" s="34"/>
      <c r="D30" s="35"/>
      <c r="E30" s="35"/>
      <c r="F30" s="34"/>
      <c r="G30" s="34"/>
      <c r="H30" s="36"/>
      <c r="I30" s="272">
        <f>SUBTOTAL(109,Table2[[ Original Inv Amt in USD]])</f>
        <v>2107322.37</v>
      </c>
      <c r="J30" s="273"/>
      <c r="K30" s="272">
        <f>SUBTOTAL(109,Table2[Inv Amt in USD for Discounting])</f>
        <v>1896590.1329999999</v>
      </c>
      <c r="L30" s="274"/>
      <c r="M30" s="274">
        <f>+M28-M29</f>
        <v>333863721.39499998</v>
      </c>
      <c r="N30" s="274"/>
      <c r="O30" s="36"/>
      <c r="P30" s="35"/>
      <c r="Q30" s="36"/>
      <c r="R30" s="275"/>
      <c r="S30" s="36"/>
      <c r="T30" s="36"/>
      <c r="U30" s="36"/>
      <c r="V30" s="272"/>
      <c r="W30" s="272"/>
      <c r="X30" s="272"/>
      <c r="Y30" s="276"/>
      <c r="Z30" s="277"/>
      <c r="AA30" s="272"/>
      <c r="AB30" s="272"/>
      <c r="AC30" s="272"/>
      <c r="AD30" s="278"/>
      <c r="AE30" s="279"/>
      <c r="AF30" s="280"/>
      <c r="AG30" s="281"/>
      <c r="AH30" s="282"/>
      <c r="AI30" s="36"/>
      <c r="AJ30" s="36"/>
      <c r="AK30" s="35"/>
      <c r="AL30" s="265"/>
      <c r="AM30" s="272"/>
      <c r="AN30" s="272"/>
      <c r="AO30" s="36"/>
      <c r="AP30" s="283"/>
      <c r="AQ30" s="272"/>
      <c r="AR30" s="93">
        <f>SUBTOTAL(109,Table2[10% Amount INR tranfer to CC])</f>
        <v>0</v>
      </c>
      <c r="AS30" s="263"/>
      <c r="AT30" s="93"/>
      <c r="AU30" s="265"/>
      <c r="AV30" s="266"/>
    </row>
    <row r="32" spans="1:57" x14ac:dyDescent="0.25">
      <c r="I32" s="333">
        <f>SUM(I6:I19)</f>
        <v>1965024.6700000004</v>
      </c>
    </row>
    <row r="33" spans="9:11" x14ac:dyDescent="0.25">
      <c r="I33">
        <f>+I32*0.1</f>
        <v>196502.46700000006</v>
      </c>
      <c r="K33">
        <v>266345.38</v>
      </c>
    </row>
    <row r="34" spans="9:11" x14ac:dyDescent="0.25">
      <c r="K34">
        <f>+K33+30</f>
        <v>266375.38</v>
      </c>
    </row>
    <row r="35" spans="9:11" x14ac:dyDescent="0.25">
      <c r="K35" s="333">
        <f>-K11</f>
        <v>-174353.11199999999</v>
      </c>
    </row>
    <row r="36" spans="9:11" x14ac:dyDescent="0.25">
      <c r="K36" s="334">
        <f>+K34+K35</f>
        <v>92022.268000000011</v>
      </c>
    </row>
  </sheetData>
  <conditionalFormatting sqref="A1:XFD1048576">
    <cfRule type="expression" dxfId="22" priority="1">
      <formula>AND(ROW()=ROW(__FocusCell),COLUMN()&lt;&gt;COLUMN(__FocusCell))</formula>
    </cfRule>
    <cfRule type="expression" dxfId="21" priority="2">
      <formula>AND(COLUMN()=COLUMN(__FocusCell),ROW()&lt;&gt;ROW(__FocusCell))</formula>
    </cfRule>
  </conditionalFormatting>
  <conditionalFormatting sqref="E1:F1">
    <cfRule type="duplicateValues" dxfId="20" priority="3" stopIfTrue="1"/>
  </conditionalFormatting>
  <pageMargins left="0.25" right="0.25" top="0.75" bottom="0.75" header="0.3" footer="0.3"/>
  <pageSetup scale="13" fitToHeight="0" orientation="landscape" r:id="rId1"/>
  <colBreaks count="1" manualBreakCount="1">
    <brk id="41" max="1048575" man="1"/>
  </colBreaks>
  <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dimension ref="A1:M81"/>
  <sheetViews>
    <sheetView workbookViewId="0">
      <selection activeCell="G81" sqref="G81"/>
    </sheetView>
  </sheetViews>
  <sheetFormatPr defaultRowHeight="15" x14ac:dyDescent="0.25"/>
  <cols>
    <col min="1" max="1" width="24.7109375" bestFit="1" customWidth="1"/>
    <col min="2" max="2" width="15.5703125" hidden="1" customWidth="1"/>
    <col min="3" max="3" width="18.28515625" hidden="1" customWidth="1"/>
    <col min="4" max="4" width="10.140625" customWidth="1"/>
    <col min="5" max="7" width="16" bestFit="1" customWidth="1"/>
    <col min="8" max="8" width="15.140625" bestFit="1" customWidth="1"/>
    <col min="9" max="9" width="23.42578125" bestFit="1" customWidth="1"/>
    <col min="11" max="11" width="23.42578125" bestFit="1" customWidth="1"/>
    <col min="13" max="13" width="23.42578125" bestFit="1" customWidth="1"/>
  </cols>
  <sheetData>
    <row r="1" spans="1:13" ht="93.75" x14ac:dyDescent="0.25">
      <c r="A1" s="27" t="s">
        <v>47</v>
      </c>
      <c r="B1" s="27" t="s">
        <v>48</v>
      </c>
      <c r="C1" s="27" t="s">
        <v>34</v>
      </c>
      <c r="D1" s="27" t="s">
        <v>49</v>
      </c>
      <c r="E1" s="27" t="s">
        <v>50</v>
      </c>
      <c r="F1" s="27" t="s">
        <v>51</v>
      </c>
      <c r="I1" s="27" t="s">
        <v>48</v>
      </c>
      <c r="J1" s="27" t="s">
        <v>34</v>
      </c>
      <c r="K1" s="27" t="s">
        <v>49</v>
      </c>
      <c r="L1" s="27" t="s">
        <v>50</v>
      </c>
      <c r="M1" s="27" t="s">
        <v>51</v>
      </c>
    </row>
    <row r="2" spans="1:13" ht="18.75" x14ac:dyDescent="0.3">
      <c r="A2" s="28" t="s">
        <v>73</v>
      </c>
      <c r="B2" s="52">
        <v>275000000</v>
      </c>
      <c r="C2" s="52">
        <v>115332442.69</v>
      </c>
      <c r="D2" s="52">
        <f>+B2-C2</f>
        <v>159667557.31</v>
      </c>
      <c r="E2" s="52">
        <v>0</v>
      </c>
      <c r="F2" s="52">
        <v>104628852.42</v>
      </c>
      <c r="G2" s="96"/>
      <c r="H2" s="97"/>
      <c r="I2" s="52">
        <v>275000000</v>
      </c>
      <c r="K2" s="52">
        <v>270918813.27999997</v>
      </c>
      <c r="L2" s="52">
        <v>0</v>
      </c>
      <c r="M2" s="52">
        <v>104628852.42</v>
      </c>
    </row>
    <row r="3" spans="1:13" ht="18.75" x14ac:dyDescent="0.3">
      <c r="A3" s="28" t="s">
        <v>95</v>
      </c>
      <c r="B3" s="52">
        <v>83330000</v>
      </c>
      <c r="C3" s="52">
        <v>33424602.969999999</v>
      </c>
      <c r="D3" s="52">
        <f>+B3-C3</f>
        <v>49905397.030000001</v>
      </c>
      <c r="E3" s="52">
        <v>0</v>
      </c>
      <c r="F3" s="52">
        <v>6618691.9799999995</v>
      </c>
      <c r="G3" s="78"/>
      <c r="H3" s="55"/>
    </row>
    <row r="4" spans="1:13" ht="18.75" x14ac:dyDescent="0.3">
      <c r="A4" s="28" t="s">
        <v>46</v>
      </c>
      <c r="B4" s="52">
        <v>220000000</v>
      </c>
      <c r="C4" s="52">
        <v>42842918.289999999</v>
      </c>
      <c r="D4" s="52">
        <f>+B4-C4</f>
        <v>177157081.71000001</v>
      </c>
      <c r="E4" s="52">
        <v>0</v>
      </c>
      <c r="F4" s="52">
        <v>23913234.900000002</v>
      </c>
      <c r="G4" s="96"/>
      <c r="I4" s="24"/>
    </row>
    <row r="5" spans="1:13" ht="18.75" x14ac:dyDescent="0.3">
      <c r="A5" s="28"/>
      <c r="B5" s="53">
        <f>SUM(B2:B4)</f>
        <v>578330000</v>
      </c>
      <c r="C5" s="53">
        <f>SUM(C2:C4)</f>
        <v>191599963.94999999</v>
      </c>
      <c r="D5" s="53">
        <f>SUM(D2:D4)</f>
        <v>386730036.05000001</v>
      </c>
      <c r="E5" s="53">
        <f>SUM(E2:E4)</f>
        <v>0</v>
      </c>
      <c r="F5" s="53">
        <f>SUM(F2:F4)</f>
        <v>135160779.30000001</v>
      </c>
      <c r="G5" s="55"/>
    </row>
    <row r="6" spans="1:13" ht="19.5" thickBot="1" x14ac:dyDescent="0.35">
      <c r="A6" s="26"/>
      <c r="B6" s="29"/>
      <c r="C6" s="29"/>
      <c r="D6" s="29"/>
      <c r="E6" s="29"/>
      <c r="F6" s="29"/>
      <c r="G6" s="55"/>
      <c r="H6" s="23"/>
    </row>
    <row r="7" spans="1:13" ht="19.5" thickBot="1" x14ac:dyDescent="0.35">
      <c r="A7" s="98" t="s">
        <v>74</v>
      </c>
      <c r="B7" s="99">
        <v>3000000</v>
      </c>
      <c r="C7" s="100">
        <v>0</v>
      </c>
      <c r="D7" s="100">
        <f>+B7-C7</f>
        <v>3000000</v>
      </c>
      <c r="E7" s="101">
        <v>0</v>
      </c>
      <c r="F7" s="101">
        <v>776551.1</v>
      </c>
      <c r="G7" s="76"/>
      <c r="H7" s="76"/>
      <c r="I7" s="76"/>
    </row>
    <row r="8" spans="1:13" x14ac:dyDescent="0.25">
      <c r="H8" s="23"/>
    </row>
    <row r="11" spans="1:13" ht="15.75" thickBot="1" x14ac:dyDescent="0.3">
      <c r="A11" s="64" t="s">
        <v>39</v>
      </c>
      <c r="B11" s="64" t="s">
        <v>0</v>
      </c>
      <c r="C11" s="64" t="s">
        <v>23</v>
      </c>
      <c r="D11" s="65" t="s">
        <v>40</v>
      </c>
      <c r="E11" s="66" t="s">
        <v>41</v>
      </c>
      <c r="F11" s="67" t="s">
        <v>42</v>
      </c>
    </row>
    <row r="12" spans="1:13" ht="30.75" thickBot="1" x14ac:dyDescent="0.3">
      <c r="A12" s="68" t="s">
        <v>35</v>
      </c>
      <c r="B12" s="68" t="s">
        <v>27</v>
      </c>
      <c r="C12" s="68" t="s">
        <v>93</v>
      </c>
      <c r="D12" s="69" t="s">
        <v>6</v>
      </c>
      <c r="E12" s="70">
        <v>275000000</v>
      </c>
      <c r="F12" s="71">
        <v>56450683.210000001</v>
      </c>
    </row>
    <row r="13" spans="1:13" ht="30.75" thickBot="1" x14ac:dyDescent="0.3">
      <c r="A13" s="72" t="s">
        <v>46</v>
      </c>
      <c r="B13" s="72" t="s">
        <v>24</v>
      </c>
      <c r="C13" s="72" t="s">
        <v>93</v>
      </c>
      <c r="D13" s="73" t="s">
        <v>6</v>
      </c>
      <c r="E13" s="74">
        <v>220000000</v>
      </c>
      <c r="F13" s="75">
        <v>51293972.93</v>
      </c>
    </row>
    <row r="14" spans="1:13" ht="30.75" thickBot="1" x14ac:dyDescent="0.3">
      <c r="A14" s="68" t="s">
        <v>95</v>
      </c>
      <c r="B14" s="68" t="s">
        <v>96</v>
      </c>
      <c r="C14" s="68" t="s">
        <v>93</v>
      </c>
      <c r="D14" s="69" t="s">
        <v>6</v>
      </c>
      <c r="E14" s="70">
        <v>83330000</v>
      </c>
      <c r="F14" s="71">
        <v>35930809.689999998</v>
      </c>
    </row>
    <row r="15" spans="1:13" s="22" customFormat="1" ht="16.5" thickBot="1" x14ac:dyDescent="0.3">
      <c r="A15" s="103"/>
      <c r="B15" s="103"/>
      <c r="C15" s="103"/>
      <c r="D15" s="104"/>
      <c r="E15" s="105">
        <f>SUM(E12:E14)</f>
        <v>578330000</v>
      </c>
      <c r="F15" s="106">
        <f>SUM(F12:F14)</f>
        <v>143675465.82999998</v>
      </c>
    </row>
    <row r="16" spans="1:13" x14ac:dyDescent="0.25">
      <c r="H16">
        <v>64117500</v>
      </c>
    </row>
    <row r="17" spans="1:8" ht="18.75" x14ac:dyDescent="0.3">
      <c r="B17" s="28" t="s">
        <v>75</v>
      </c>
      <c r="C17" s="28" t="s">
        <v>118</v>
      </c>
      <c r="D17" s="55"/>
      <c r="H17">
        <v>45247656.32</v>
      </c>
    </row>
    <row r="18" spans="1:8" ht="18.75" x14ac:dyDescent="0.3">
      <c r="A18" s="28" t="s">
        <v>119</v>
      </c>
      <c r="B18" s="52">
        <v>127940000</v>
      </c>
      <c r="C18" s="52">
        <v>0</v>
      </c>
      <c r="D18" s="24"/>
      <c r="E18">
        <v>1129673.2949999999</v>
      </c>
      <c r="H18">
        <f>SUM(H16:H17)</f>
        <v>109365156.31999999</v>
      </c>
    </row>
    <row r="19" spans="1:8" ht="18.75" x14ac:dyDescent="0.3">
      <c r="A19" s="28" t="s">
        <v>120</v>
      </c>
      <c r="B19" s="52">
        <v>0</v>
      </c>
      <c r="C19" s="52">
        <v>0</v>
      </c>
      <c r="D19" s="24"/>
    </row>
    <row r="20" spans="1:8" ht="18.75" x14ac:dyDescent="0.3">
      <c r="A20" s="28" t="s">
        <v>118</v>
      </c>
      <c r="B20" s="52">
        <v>0</v>
      </c>
      <c r="C20" s="52">
        <v>0</v>
      </c>
      <c r="D20" s="24"/>
    </row>
    <row r="21" spans="1:8" ht="18.75" x14ac:dyDescent="0.3">
      <c r="A21" s="28" t="s">
        <v>123</v>
      </c>
      <c r="B21" s="52">
        <v>-110312656.17</v>
      </c>
      <c r="C21" s="52">
        <v>0</v>
      </c>
      <c r="D21" s="24"/>
    </row>
    <row r="22" spans="1:8" ht="18.75" x14ac:dyDescent="0.3">
      <c r="A22" s="28" t="s">
        <v>122</v>
      </c>
      <c r="B22" s="52">
        <v>1428324.48</v>
      </c>
      <c r="C22" s="52">
        <v>0</v>
      </c>
      <c r="D22" s="24"/>
    </row>
    <row r="23" spans="1:8" ht="18.75" x14ac:dyDescent="0.3">
      <c r="A23" s="28" t="s">
        <v>121</v>
      </c>
      <c r="B23" s="52">
        <f>SUM(B18:B22)</f>
        <v>19055668.309999999</v>
      </c>
      <c r="C23" s="52">
        <f>SUM(C18:C22)</f>
        <v>0</v>
      </c>
      <c r="D23" s="52">
        <f>+B22-B23</f>
        <v>-17627343.829999998</v>
      </c>
      <c r="E23">
        <v>42032841.960000001</v>
      </c>
      <c r="F23" s="55">
        <f>+E23+D23</f>
        <v>24405498.130000003</v>
      </c>
    </row>
    <row r="24" spans="1:8" ht="18.75" x14ac:dyDescent="0.3">
      <c r="B24" s="79"/>
      <c r="D24" s="52">
        <v>39687343.829999998</v>
      </c>
    </row>
    <row r="25" spans="1:8" ht="18.75" x14ac:dyDescent="0.3">
      <c r="B25" s="77">
        <f>120000000+B21</f>
        <v>9687343.8299999982</v>
      </c>
      <c r="C25" s="52"/>
      <c r="D25" s="55">
        <f>SUM(D23:D24)</f>
        <v>22060000</v>
      </c>
    </row>
    <row r="26" spans="1:8" x14ac:dyDescent="0.25">
      <c r="B26" s="80"/>
      <c r="C26" s="55"/>
    </row>
    <row r="27" spans="1:8" ht="15.75" x14ac:dyDescent="0.25">
      <c r="B27" s="55">
        <v>125795037.88</v>
      </c>
      <c r="C27" s="55"/>
      <c r="D27" s="102" t="s">
        <v>124</v>
      </c>
    </row>
    <row r="28" spans="1:8" x14ac:dyDescent="0.25">
      <c r="B28" s="55">
        <f>B19</f>
        <v>0</v>
      </c>
    </row>
    <row r="29" spans="1:8" x14ac:dyDescent="0.25">
      <c r="B29" s="55">
        <f>B21</f>
        <v>-110312656.17</v>
      </c>
    </row>
    <row r="30" spans="1:8" x14ac:dyDescent="0.25">
      <c r="B30" s="55">
        <v>-5795037.8799999999</v>
      </c>
    </row>
    <row r="31" spans="1:8" x14ac:dyDescent="0.25">
      <c r="B31" s="55">
        <f>SUM(B27:B30)</f>
        <v>9687343.8299999945</v>
      </c>
      <c r="D31" s="55">
        <f>-D23</f>
        <v>17627343.829999998</v>
      </c>
    </row>
    <row r="35" spans="1:6" x14ac:dyDescent="0.25">
      <c r="A35" s="82" t="s">
        <v>37</v>
      </c>
    </row>
    <row r="36" spans="1:6" x14ac:dyDescent="0.25">
      <c r="A36" s="82"/>
    </row>
    <row r="37" spans="1:6" x14ac:dyDescent="0.25">
      <c r="A37" s="81"/>
    </row>
    <row r="40" spans="1:6" x14ac:dyDescent="0.25">
      <c r="A40" s="82" t="s">
        <v>37</v>
      </c>
    </row>
    <row r="41" spans="1:6" ht="75" x14ac:dyDescent="0.25">
      <c r="A41" s="82" t="s">
        <v>38</v>
      </c>
    </row>
    <row r="42" spans="1:6" ht="15.75" thickBot="1" x14ac:dyDescent="0.3">
      <c r="A42" s="107" t="s">
        <v>39</v>
      </c>
      <c r="B42" s="107" t="s">
        <v>0</v>
      </c>
      <c r="C42" s="107" t="s">
        <v>23</v>
      </c>
      <c r="D42" s="108" t="s">
        <v>40</v>
      </c>
      <c r="E42" s="109" t="s">
        <v>41</v>
      </c>
      <c r="F42" s="110" t="s">
        <v>42</v>
      </c>
    </row>
    <row r="43" spans="1:6" ht="15.75" thickBot="1" x14ac:dyDescent="0.3">
      <c r="A43" s="111" t="s">
        <v>35</v>
      </c>
      <c r="B43" s="111" t="s">
        <v>27</v>
      </c>
      <c r="C43" s="111" t="s">
        <v>93</v>
      </c>
      <c r="D43" s="112" t="s">
        <v>6</v>
      </c>
      <c r="E43" s="113">
        <v>275000000</v>
      </c>
      <c r="F43" s="114">
        <v>56450683.210000001</v>
      </c>
    </row>
    <row r="44" spans="1:6" ht="15.75" thickBot="1" x14ac:dyDescent="0.3">
      <c r="A44" s="115" t="s">
        <v>46</v>
      </c>
      <c r="B44" s="115" t="s">
        <v>24</v>
      </c>
      <c r="C44" s="115" t="s">
        <v>93</v>
      </c>
      <c r="D44" s="116" t="s">
        <v>6</v>
      </c>
      <c r="E44" s="117">
        <v>220000000</v>
      </c>
      <c r="F44" s="118">
        <v>51293972.93</v>
      </c>
    </row>
    <row r="45" spans="1:6" ht="15.75" thickBot="1" x14ac:dyDescent="0.3">
      <c r="A45" s="111" t="s">
        <v>95</v>
      </c>
      <c r="B45" s="111" t="s">
        <v>96</v>
      </c>
      <c r="C45" s="111" t="s">
        <v>93</v>
      </c>
      <c r="D45" s="112" t="s">
        <v>6</v>
      </c>
      <c r="E45" s="113">
        <v>83330000</v>
      </c>
      <c r="F45" s="114">
        <v>35930809.689999998</v>
      </c>
    </row>
    <row r="46" spans="1:6" ht="15.75" thickBot="1" x14ac:dyDescent="0.3">
      <c r="A46" s="115" t="s">
        <v>35</v>
      </c>
      <c r="B46" s="115" t="s">
        <v>27</v>
      </c>
      <c r="C46" s="115" t="s">
        <v>20</v>
      </c>
      <c r="D46" s="116" t="s">
        <v>6</v>
      </c>
      <c r="E46" s="119">
        <v>0</v>
      </c>
      <c r="F46" s="120">
        <v>0</v>
      </c>
    </row>
    <row r="47" spans="1:6" ht="15.75" thickBot="1" x14ac:dyDescent="0.3">
      <c r="A47" s="111" t="s">
        <v>33</v>
      </c>
      <c r="B47" s="111" t="s">
        <v>43</v>
      </c>
      <c r="C47" s="111" t="s">
        <v>125</v>
      </c>
      <c r="D47" s="112" t="s">
        <v>45</v>
      </c>
      <c r="E47" s="113">
        <v>3415890</v>
      </c>
      <c r="F47" s="121">
        <v>0</v>
      </c>
    </row>
    <row r="48" spans="1:6" ht="15.75" thickBot="1" x14ac:dyDescent="0.3">
      <c r="A48" s="115" t="s">
        <v>33</v>
      </c>
      <c r="B48" s="115" t="s">
        <v>43</v>
      </c>
      <c r="C48" s="115" t="s">
        <v>44</v>
      </c>
      <c r="D48" s="116" t="s">
        <v>45</v>
      </c>
      <c r="E48" s="117">
        <v>3415890</v>
      </c>
      <c r="F48" s="120">
        <v>0</v>
      </c>
    </row>
    <row r="49" spans="1:9" ht="15.75" thickBot="1" x14ac:dyDescent="0.3">
      <c r="A49" s="111" t="s">
        <v>46</v>
      </c>
      <c r="B49" s="111" t="s">
        <v>24</v>
      </c>
      <c r="C49" s="111" t="s">
        <v>32</v>
      </c>
      <c r="D49" s="112" t="s">
        <v>6</v>
      </c>
      <c r="E49" s="113">
        <v>220000000</v>
      </c>
      <c r="F49" s="121">
        <v>0</v>
      </c>
    </row>
    <row r="50" spans="1:9" ht="15.75" thickBot="1" x14ac:dyDescent="0.3">
      <c r="A50" s="115" t="s">
        <v>126</v>
      </c>
      <c r="B50" s="115" t="s">
        <v>94</v>
      </c>
      <c r="C50" s="115" t="s">
        <v>93</v>
      </c>
      <c r="D50" s="116" t="s">
        <v>6</v>
      </c>
      <c r="E50" s="119">
        <v>0</v>
      </c>
      <c r="F50" s="120">
        <v>0</v>
      </c>
    </row>
    <row r="51" spans="1:9" ht="15.75" thickBot="1" x14ac:dyDescent="0.3">
      <c r="A51" s="111" t="s">
        <v>46</v>
      </c>
      <c r="B51" s="111" t="s">
        <v>24</v>
      </c>
      <c r="C51" s="111" t="s">
        <v>20</v>
      </c>
      <c r="D51" s="112" t="s">
        <v>6</v>
      </c>
      <c r="E51" s="122">
        <v>0</v>
      </c>
      <c r="F51" s="121">
        <v>0</v>
      </c>
    </row>
    <row r="55" spans="1:9" ht="15.75" thickBot="1" x14ac:dyDescent="0.3">
      <c r="A55" s="127" t="s">
        <v>39</v>
      </c>
      <c r="B55" s="127" t="s">
        <v>0</v>
      </c>
      <c r="C55" s="127" t="s">
        <v>23</v>
      </c>
      <c r="D55" s="128" t="s">
        <v>40</v>
      </c>
      <c r="E55" s="129" t="s">
        <v>41</v>
      </c>
      <c r="F55" s="130" t="s">
        <v>42</v>
      </c>
    </row>
    <row r="56" spans="1:9" ht="30.75" thickBot="1" x14ac:dyDescent="0.3">
      <c r="A56" s="68" t="s">
        <v>46</v>
      </c>
      <c r="B56" s="68" t="s">
        <v>24</v>
      </c>
      <c r="C56" s="68" t="s">
        <v>93</v>
      </c>
      <c r="D56" s="69" t="s">
        <v>6</v>
      </c>
      <c r="E56" s="70">
        <v>220000000</v>
      </c>
      <c r="F56" s="131">
        <v>51293972.93</v>
      </c>
      <c r="G56">
        <v>59078850.051999822</v>
      </c>
      <c r="H56" s="24">
        <f>+F56-G56</f>
        <v>-7784877.1219998226</v>
      </c>
    </row>
    <row r="57" spans="1:9" ht="30.75" thickBot="1" x14ac:dyDescent="0.3">
      <c r="A57" s="72" t="s">
        <v>35</v>
      </c>
      <c r="B57" s="72" t="s">
        <v>27</v>
      </c>
      <c r="C57" s="72" t="s">
        <v>93</v>
      </c>
      <c r="D57" s="73" t="s">
        <v>6</v>
      </c>
      <c r="E57" s="74">
        <v>275000000</v>
      </c>
      <c r="F57" s="75">
        <v>50899427.039999999</v>
      </c>
      <c r="G57">
        <v>27307790.633999988</v>
      </c>
      <c r="H57" s="24">
        <f>+F57-G57</f>
        <v>23591636.406000011</v>
      </c>
      <c r="I57">
        <f>5720270.02+17452695.45+1135509.83+4672169.16</f>
        <v>28980644.459999997</v>
      </c>
    </row>
    <row r="58" spans="1:9" ht="30.75" thickBot="1" x14ac:dyDescent="0.3">
      <c r="A58" s="68" t="s">
        <v>95</v>
      </c>
      <c r="B58" s="68" t="s">
        <v>96</v>
      </c>
      <c r="C58" s="68" t="s">
        <v>93</v>
      </c>
      <c r="D58" s="69" t="s">
        <v>6</v>
      </c>
      <c r="E58" s="70">
        <v>83330000</v>
      </c>
      <c r="F58" s="71">
        <v>35930809.689999998</v>
      </c>
      <c r="G58">
        <v>39699903.474999994</v>
      </c>
      <c r="H58" s="24">
        <f>+F58-G58</f>
        <v>-3769093.7849999964</v>
      </c>
    </row>
    <row r="59" spans="1:9" ht="30.75" thickBot="1" x14ac:dyDescent="0.3">
      <c r="A59" s="72" t="s">
        <v>35</v>
      </c>
      <c r="B59" s="72" t="s">
        <v>27</v>
      </c>
      <c r="C59" s="72" t="s">
        <v>20</v>
      </c>
      <c r="D59" s="73" t="s">
        <v>6</v>
      </c>
      <c r="E59" s="123">
        <v>0</v>
      </c>
      <c r="F59" s="124">
        <v>0</v>
      </c>
    </row>
    <row r="60" spans="1:9" ht="30.75" thickBot="1" x14ac:dyDescent="0.3">
      <c r="A60" s="68" t="s">
        <v>33</v>
      </c>
      <c r="B60" s="68" t="s">
        <v>43</v>
      </c>
      <c r="C60" s="68" t="s">
        <v>125</v>
      </c>
      <c r="D60" s="69" t="s">
        <v>45</v>
      </c>
      <c r="E60" s="70">
        <v>3415110</v>
      </c>
      <c r="F60" s="125">
        <v>0</v>
      </c>
    </row>
    <row r="61" spans="1:9" ht="30.75" thickBot="1" x14ac:dyDescent="0.3">
      <c r="A61" s="72" t="s">
        <v>33</v>
      </c>
      <c r="B61" s="72" t="s">
        <v>43</v>
      </c>
      <c r="C61" s="72" t="s">
        <v>44</v>
      </c>
      <c r="D61" s="73" t="s">
        <v>45</v>
      </c>
      <c r="E61" s="74">
        <v>3415110</v>
      </c>
      <c r="F61" s="124">
        <v>0</v>
      </c>
    </row>
    <row r="62" spans="1:9" ht="30.75" thickBot="1" x14ac:dyDescent="0.3">
      <c r="A62" s="68" t="s">
        <v>46</v>
      </c>
      <c r="B62" s="68" t="s">
        <v>24</v>
      </c>
      <c r="C62" s="68" t="s">
        <v>32</v>
      </c>
      <c r="D62" s="69" t="s">
        <v>6</v>
      </c>
      <c r="E62" s="70">
        <v>220000000</v>
      </c>
      <c r="F62" s="125">
        <v>0</v>
      </c>
    </row>
    <row r="63" spans="1:9" ht="30.75" thickBot="1" x14ac:dyDescent="0.3">
      <c r="A63" s="72" t="s">
        <v>126</v>
      </c>
      <c r="B63" s="72" t="s">
        <v>94</v>
      </c>
      <c r="C63" s="72" t="s">
        <v>93</v>
      </c>
      <c r="D63" s="73" t="s">
        <v>6</v>
      </c>
      <c r="E63" s="123">
        <v>0</v>
      </c>
      <c r="F63" s="124">
        <v>0</v>
      </c>
    </row>
    <row r="64" spans="1:9" ht="30.75" thickBot="1" x14ac:dyDescent="0.3">
      <c r="A64" s="68" t="s">
        <v>46</v>
      </c>
      <c r="B64" s="68" t="s">
        <v>24</v>
      </c>
      <c r="C64" s="68" t="s">
        <v>20</v>
      </c>
      <c r="D64" s="69" t="s">
        <v>6</v>
      </c>
      <c r="E64" s="126">
        <v>0</v>
      </c>
      <c r="F64" s="125">
        <v>0</v>
      </c>
    </row>
    <row r="68" spans="1:7" ht="15.75" thickBot="1" x14ac:dyDescent="0.3">
      <c r="A68" s="132" t="s">
        <v>39</v>
      </c>
      <c r="B68" s="132" t="s">
        <v>0</v>
      </c>
      <c r="C68" s="132" t="s">
        <v>23</v>
      </c>
      <c r="D68" s="133" t="s">
        <v>40</v>
      </c>
      <c r="E68" s="134" t="s">
        <v>41</v>
      </c>
      <c r="F68" s="135" t="s">
        <v>42</v>
      </c>
    </row>
    <row r="77" spans="1:7" s="25" customFormat="1" ht="45" x14ac:dyDescent="0.25">
      <c r="A77" s="143" t="s">
        <v>39</v>
      </c>
      <c r="B77" s="143" t="s">
        <v>0</v>
      </c>
      <c r="C77" s="143" t="s">
        <v>23</v>
      </c>
      <c r="D77" s="143" t="s">
        <v>40</v>
      </c>
      <c r="E77" s="143" t="s">
        <v>41</v>
      </c>
      <c r="F77" s="143" t="s">
        <v>42</v>
      </c>
      <c r="G77" s="143" t="s">
        <v>129</v>
      </c>
    </row>
    <row r="78" spans="1:7" x14ac:dyDescent="0.25">
      <c r="A78" s="136" t="s">
        <v>35</v>
      </c>
      <c r="B78" s="136" t="s">
        <v>27</v>
      </c>
      <c r="C78" s="136" t="s">
        <v>93</v>
      </c>
      <c r="D78" s="137" t="s">
        <v>6</v>
      </c>
      <c r="E78" s="138">
        <v>275000000</v>
      </c>
      <c r="F78" s="138">
        <v>170643082.59999999</v>
      </c>
      <c r="G78" s="138">
        <f>+E78-F78</f>
        <v>104356917.40000001</v>
      </c>
    </row>
    <row r="79" spans="1:7" x14ac:dyDescent="0.25">
      <c r="A79" s="139" t="s">
        <v>33</v>
      </c>
      <c r="B79" s="139" t="s">
        <v>43</v>
      </c>
      <c r="C79" s="139" t="s">
        <v>44</v>
      </c>
      <c r="D79" s="140" t="s">
        <v>45</v>
      </c>
      <c r="E79" s="141">
        <v>0</v>
      </c>
      <c r="F79" s="142">
        <v>1448108.33</v>
      </c>
      <c r="G79" s="142">
        <v>0</v>
      </c>
    </row>
    <row r="80" spans="1:7" x14ac:dyDescent="0.25">
      <c r="A80" s="136" t="s">
        <v>46</v>
      </c>
      <c r="B80" s="136" t="s">
        <v>24</v>
      </c>
      <c r="C80" s="136" t="s">
        <v>93</v>
      </c>
      <c r="D80" s="137" t="s">
        <v>6</v>
      </c>
      <c r="E80" s="138">
        <v>220000000</v>
      </c>
      <c r="F80" s="138">
        <v>39400669.640000001</v>
      </c>
      <c r="G80" s="138">
        <f>+E80-F80</f>
        <v>180599330.36000001</v>
      </c>
    </row>
    <row r="81" spans="1:7" x14ac:dyDescent="0.25">
      <c r="A81" s="139" t="s">
        <v>95</v>
      </c>
      <c r="B81" s="139" t="s">
        <v>96</v>
      </c>
      <c r="C81" s="139" t="s">
        <v>93</v>
      </c>
      <c r="D81" s="140" t="s">
        <v>6</v>
      </c>
      <c r="E81" s="142">
        <v>83330000</v>
      </c>
      <c r="F81" s="142">
        <v>34971692.649999999</v>
      </c>
      <c r="G81" s="142">
        <f>+E81-F81</f>
        <v>48358307.350000001</v>
      </c>
    </row>
  </sheetData>
  <dataConsolidate topLabels="1">
    <dataRefs count="1">
      <dataRef ref="N1:O444" sheet="SUMMARY"/>
    </dataRefs>
  </dataConsolidate>
  <conditionalFormatting sqref="A1:XFD1048576">
    <cfRule type="expression" dxfId="19" priority="1">
      <formula>AND(ROW()=ROW(__FocusCell),COLUMN()&lt;&gt;COLUMN(__FocusCell))</formula>
    </cfRule>
    <cfRule type="expression" dxfId="18" priority="2">
      <formula>AND(COLUMN()=COLUMN(__FocusCell),ROW()&lt;&gt;ROW(__FocusCell))</formula>
    </cfRule>
  </conditionalFormatting>
  <pageMargins left="0.7" right="0.7" top="0.75" bottom="0.75" header="0.3" footer="0.3"/>
  <pageSetup orientation="portrait" r:id="rId1"/>
  <drawing r:id="rId2"/>
  <legacyDrawing r:id="rId3"/>
  <controls>
    <mc:AlternateContent xmlns:mc="http://schemas.openxmlformats.org/markup-compatibility/2006">
      <mc:Choice Requires="x14">
        <control shapeId="10243" r:id="rId4" name="Control 3">
          <controlPr defaultSize="0" autoPict="0" r:id="rId5">
            <anchor moveWithCells="1">
              <from>
                <xdr:col>0</xdr:col>
                <xdr:colOff>0</xdr:colOff>
                <xdr:row>67</xdr:row>
                <xdr:rowOff>0</xdr:rowOff>
              </from>
              <to>
                <xdr:col>0</xdr:col>
                <xdr:colOff>1304925</xdr:colOff>
                <xdr:row>68</xdr:row>
                <xdr:rowOff>0</xdr:rowOff>
              </to>
            </anchor>
          </controlPr>
        </control>
      </mc:Choice>
      <mc:Fallback>
        <control shapeId="10243" r:id="rId4" name="Control 3"/>
      </mc:Fallback>
    </mc:AlternateContent>
    <mc:AlternateContent xmlns:mc="http://schemas.openxmlformats.org/markup-compatibility/2006">
      <mc:Choice Requires="x14">
        <control shapeId="10242" r:id="rId6" name="Control 2">
          <controlPr defaultSize="0" autoPict="0" r:id="rId7">
            <anchor moveWithCells="1">
              <from>
                <xdr:col>0</xdr:col>
                <xdr:colOff>0</xdr:colOff>
                <xdr:row>40</xdr:row>
                <xdr:rowOff>0</xdr:rowOff>
              </from>
              <to>
                <xdr:col>0</xdr:col>
                <xdr:colOff>1304925</xdr:colOff>
                <xdr:row>40</xdr:row>
                <xdr:rowOff>209550</xdr:rowOff>
              </to>
            </anchor>
          </controlPr>
        </control>
      </mc:Choice>
      <mc:Fallback>
        <control shapeId="10242" r:id="rId6" name="Control 2"/>
      </mc:Fallback>
    </mc:AlternateContent>
    <mc:AlternateContent xmlns:mc="http://schemas.openxmlformats.org/markup-compatibility/2006">
      <mc:Choice Requires="x14">
        <control shapeId="10241" r:id="rId8" name="Control 1">
          <controlPr defaultSize="0" autoPict="0" r:id="rId9">
            <anchor moveWithCells="1">
              <from>
                <xdr:col>0</xdr:col>
                <xdr:colOff>0</xdr:colOff>
                <xdr:row>37</xdr:row>
                <xdr:rowOff>0</xdr:rowOff>
              </from>
              <to>
                <xdr:col>0</xdr:col>
                <xdr:colOff>1304925</xdr:colOff>
                <xdr:row>38</xdr:row>
                <xdr:rowOff>19050</xdr:rowOff>
              </to>
            </anchor>
          </controlPr>
        </control>
      </mc:Choice>
      <mc:Fallback>
        <control shapeId="10241" r:id="rId8" name="Control 1"/>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51EB-D388-4AEB-BA47-FD31537F9319}">
  <dimension ref="A1:B7"/>
  <sheetViews>
    <sheetView workbookViewId="0">
      <selection activeCell="B7" sqref="B7"/>
    </sheetView>
  </sheetViews>
  <sheetFormatPr defaultRowHeight="15" x14ac:dyDescent="0.25"/>
  <cols>
    <col min="1" max="1" width="25" bestFit="1" customWidth="1"/>
  </cols>
  <sheetData>
    <row r="1" spans="1:2" x14ac:dyDescent="0.25">
      <c r="A1" s="296" t="s">
        <v>541</v>
      </c>
    </row>
    <row r="2" spans="1:2" x14ac:dyDescent="0.25">
      <c r="A2" s="8" t="e">
        <f>_xlfn.TEXTJOIN(",", TRUE, _xlfn._xlws.FILTER(DOMESTIC!A:W, DOMESTIC!D:D=DebtorCode))</f>
        <v>#NAME?</v>
      </c>
    </row>
    <row r="4" spans="1:2" x14ac:dyDescent="0.25">
      <c r="A4" t="s">
        <v>542</v>
      </c>
    </row>
    <row r="6" spans="1:2" x14ac:dyDescent="0.25">
      <c r="A6" t="s">
        <v>543</v>
      </c>
    </row>
    <row r="7" spans="1:2" ht="409.5" x14ac:dyDescent="0.25">
      <c r="A7" s="8" t="s">
        <v>544</v>
      </c>
      <c r="B7" s="297" t="s">
        <v>545</v>
      </c>
    </row>
  </sheetData>
  <conditionalFormatting sqref="A1:XFD1048576">
    <cfRule type="expression" dxfId="17" priority="1">
      <formula>AND(ROW()=ROW(__FocusCell),COLUMN()&lt;&gt;COLUMN(__FocusCell))</formula>
    </cfRule>
    <cfRule type="expression" dxfId="16" priority="2">
      <formula>AND(COLUMN()=COLUMN(__FocusCell),ROW()&lt;&gt;ROW(__FocusCell))</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D788-0FFA-47F2-B83F-E4A71DF08B8B}">
  <dimension ref="A1:AD193"/>
  <sheetViews>
    <sheetView workbookViewId="0">
      <pane xSplit="1" ySplit="2" topLeftCell="B30" activePane="bottomRight" state="frozen"/>
      <selection pane="topRight" activeCell="B1" sqref="B1"/>
      <selection pane="bottomLeft" activeCell="A3" sqref="A3"/>
      <selection pane="bottomRight" activeCell="F12" sqref="F12"/>
    </sheetView>
  </sheetViews>
  <sheetFormatPr defaultColWidth="9.140625" defaultRowHeight="15" x14ac:dyDescent="0.25"/>
  <cols>
    <col min="1" max="1" width="6.5703125" style="9" bestFit="1" customWidth="1"/>
    <col min="2" max="2" width="7.28515625" style="11" bestFit="1" customWidth="1"/>
    <col min="3" max="3" width="17.85546875" style="11" bestFit="1" customWidth="1"/>
    <col min="4" max="4" width="16.7109375" style="11" bestFit="1" customWidth="1"/>
    <col min="5" max="5" width="6.140625" style="11" bestFit="1" customWidth="1"/>
    <col min="6" max="6" width="15.42578125" style="11" bestFit="1" customWidth="1"/>
    <col min="7" max="7" width="14.7109375" style="12" bestFit="1" customWidth="1"/>
    <col min="8" max="8" width="8.5703125" style="11" bestFit="1" customWidth="1"/>
    <col min="9" max="9" width="15.42578125" style="11" bestFit="1" customWidth="1"/>
    <col min="10" max="10" width="14.85546875" style="13" bestFit="1" customWidth="1"/>
    <col min="11" max="11" width="15" style="11" bestFit="1" customWidth="1"/>
    <col min="12" max="12" width="13.28515625" style="12" bestFit="1" customWidth="1"/>
    <col min="13" max="13" width="14.7109375" style="11" bestFit="1" customWidth="1"/>
    <col min="14" max="14" width="28.5703125" style="11" bestFit="1" customWidth="1"/>
    <col min="15" max="15" width="19" style="11" bestFit="1" customWidth="1"/>
    <col min="16" max="16" width="20.5703125" style="13" bestFit="1" customWidth="1"/>
    <col min="17" max="17" width="44.140625" style="13" bestFit="1" customWidth="1"/>
    <col min="18" max="18" width="14.85546875" style="14" bestFit="1" customWidth="1"/>
    <col min="19" max="19" width="9.5703125" style="15" bestFit="1" customWidth="1"/>
    <col min="20" max="20" width="8.5703125" style="144" bestFit="1" customWidth="1"/>
    <col min="21" max="21" width="16.5703125" style="10" bestFit="1" customWidth="1"/>
    <col min="22" max="22" width="16.85546875" style="11" bestFit="1" customWidth="1"/>
    <col min="23" max="23" width="15.7109375" style="11" bestFit="1" customWidth="1"/>
    <col min="24" max="24" width="19" style="11" bestFit="1" customWidth="1"/>
    <col min="25" max="25" width="15.7109375" style="11" bestFit="1" customWidth="1"/>
    <col min="26" max="26" width="13.42578125" style="11" bestFit="1" customWidth="1"/>
    <col min="27" max="27" width="14.5703125" style="11" bestFit="1" customWidth="1"/>
    <col min="28" max="28" width="13.28515625" style="13" bestFit="1" customWidth="1"/>
    <col min="29" max="29" width="13.85546875" style="10" bestFit="1" customWidth="1"/>
    <col min="30" max="30" width="9.140625" style="10"/>
    <col min="31" max="31" width="54.7109375" style="10" customWidth="1"/>
    <col min="32" max="16384" width="9.140625" style="10"/>
  </cols>
  <sheetData>
    <row r="1" spans="1:29" customFormat="1" x14ac:dyDescent="0.25">
      <c r="A1" s="22" t="s">
        <v>241</v>
      </c>
      <c r="B1" t="s">
        <v>184</v>
      </c>
      <c r="C1" t="s">
        <v>23</v>
      </c>
      <c r="D1" t="s">
        <v>0</v>
      </c>
      <c r="E1" t="s">
        <v>1</v>
      </c>
      <c r="F1" t="s">
        <v>2</v>
      </c>
      <c r="G1" t="s">
        <v>3</v>
      </c>
      <c r="H1" t="s">
        <v>183</v>
      </c>
      <c r="I1" t="s">
        <v>185</v>
      </c>
      <c r="J1" t="s">
        <v>4</v>
      </c>
      <c r="K1" t="s">
        <v>187</v>
      </c>
      <c r="L1" t="s">
        <v>188</v>
      </c>
      <c r="M1" t="s">
        <v>186</v>
      </c>
      <c r="N1" t="s">
        <v>5</v>
      </c>
      <c r="O1" t="s">
        <v>179</v>
      </c>
      <c r="P1" t="s">
        <v>180</v>
      </c>
      <c r="Q1" t="s">
        <v>189</v>
      </c>
      <c r="R1" t="s">
        <v>190</v>
      </c>
      <c r="S1" t="s">
        <v>191</v>
      </c>
      <c r="T1" t="s">
        <v>192</v>
      </c>
      <c r="U1" t="s">
        <v>193</v>
      </c>
      <c r="V1" t="s">
        <v>194</v>
      </c>
      <c r="W1" t="s">
        <v>195</v>
      </c>
    </row>
    <row r="2" spans="1:29" ht="60" x14ac:dyDescent="0.25">
      <c r="A2" s="152" t="s">
        <v>8</v>
      </c>
      <c r="B2" s="153" t="s">
        <v>184</v>
      </c>
      <c r="C2" s="153" t="s">
        <v>23</v>
      </c>
      <c r="D2" s="153" t="s">
        <v>0</v>
      </c>
      <c r="E2" s="153" t="s">
        <v>1</v>
      </c>
      <c r="F2" s="153" t="s">
        <v>2</v>
      </c>
      <c r="G2" s="153" t="s">
        <v>3</v>
      </c>
      <c r="H2" s="153" t="s">
        <v>183</v>
      </c>
      <c r="I2" s="153" t="s">
        <v>185</v>
      </c>
      <c r="J2" s="153" t="s">
        <v>4</v>
      </c>
      <c r="K2" s="153" t="s">
        <v>16</v>
      </c>
      <c r="L2" s="154" t="s">
        <v>15</v>
      </c>
      <c r="M2" s="153" t="s">
        <v>186</v>
      </c>
      <c r="N2" s="153" t="s">
        <v>5</v>
      </c>
      <c r="O2" s="154" t="s">
        <v>179</v>
      </c>
      <c r="P2" s="154" t="s">
        <v>180</v>
      </c>
      <c r="Q2" s="153" t="s">
        <v>189</v>
      </c>
      <c r="R2" s="154" t="s">
        <v>9</v>
      </c>
      <c r="S2" s="154" t="s">
        <v>13</v>
      </c>
      <c r="T2" s="155" t="s">
        <v>10</v>
      </c>
      <c r="U2" s="154" t="s">
        <v>11</v>
      </c>
      <c r="V2" s="154" t="s">
        <v>12</v>
      </c>
      <c r="W2" s="153" t="s">
        <v>18</v>
      </c>
      <c r="X2" s="154" t="s">
        <v>77</v>
      </c>
      <c r="Y2" s="154" t="s">
        <v>14</v>
      </c>
      <c r="Z2" s="154" t="s">
        <v>142</v>
      </c>
      <c r="AA2" s="153" t="s">
        <v>22</v>
      </c>
      <c r="AB2" s="153" t="s">
        <v>21</v>
      </c>
      <c r="AC2" s="153" t="s">
        <v>242</v>
      </c>
    </row>
    <row r="3" spans="1:29" x14ac:dyDescent="0.25">
      <c r="A3" s="1">
        <v>1</v>
      </c>
      <c r="B3" s="1">
        <f>SUBTOTAL(3,C$3:C3)</f>
        <v>1</v>
      </c>
      <c r="C3" s="6" t="s">
        <v>93</v>
      </c>
      <c r="D3" s="30" t="s">
        <v>27</v>
      </c>
      <c r="E3" s="30" t="s">
        <v>7</v>
      </c>
      <c r="F3" s="54" t="s">
        <v>143</v>
      </c>
      <c r="G3" s="146">
        <v>46114</v>
      </c>
      <c r="H3" s="2" t="s">
        <v>6</v>
      </c>
      <c r="I3" s="57">
        <v>561855.81999999995</v>
      </c>
      <c r="J3" s="149" cm="1">
        <f t="array" ref="J3">_xlfn.IFS(D3="INDUSTOWER","40",D3="RELIANCEIN","44",D3="SIEMENSLTD","120",D3="CLEANMAX","40",D3="AVAADA","40",D3="ARCHTECH","40")+G3</f>
        <v>46154</v>
      </c>
      <c r="K3" s="150">
        <v>46129</v>
      </c>
      <c r="L3" s="149">
        <f t="shared" ref="L3:L55" si="0">+J3+20</f>
        <v>46174</v>
      </c>
      <c r="M3" s="6">
        <v>10001</v>
      </c>
      <c r="N3" s="148">
        <f t="shared" ref="N3:N55" si="1">+G3</f>
        <v>46114</v>
      </c>
      <c r="O3" s="147"/>
      <c r="P3" s="222"/>
      <c r="Q3" s="18" t="s">
        <v>76</v>
      </c>
      <c r="R3" s="18">
        <f t="shared" ref="R3:R55" si="2">+I3*0.9</f>
        <v>505670.23799999995</v>
      </c>
      <c r="S3" s="3">
        <v>7.6999999999999999E-2</v>
      </c>
      <c r="T3" s="145">
        <f t="shared" ref="T3:T55" si="3">+J3-K3+20</f>
        <v>45</v>
      </c>
      <c r="U3" s="4">
        <f t="shared" ref="U3:U55" si="4">ROUND(+R3*S3*T3/365,0)</f>
        <v>4800</v>
      </c>
      <c r="V3" s="4">
        <f t="shared" ref="V3:V55" si="5">+R3-U3</f>
        <v>500870.23799999995</v>
      </c>
      <c r="W3" s="17"/>
      <c r="X3" s="6"/>
      <c r="Y3" s="5"/>
      <c r="Z3" s="94"/>
      <c r="AA3" s="20">
        <f>+L3-W3</f>
        <v>46174</v>
      </c>
      <c r="AB3" s="19">
        <f>ROUND(+U3/T3*AA3,0)</f>
        <v>4925227</v>
      </c>
      <c r="AC3" s="165" cm="1">
        <f t="array" ref="AC3">_xlfn.IFS(D3="INDUSTOWER","275000000",D3="RELIANCEIN","220000000",D3="SIEMENSLTD","83330000")-I3</f>
        <v>274438144.18000001</v>
      </c>
    </row>
    <row r="4" spans="1:29" x14ac:dyDescent="0.25">
      <c r="A4" s="1">
        <v>1</v>
      </c>
      <c r="B4" s="1">
        <f>SUBTOTAL(3,C$3:C4)</f>
        <v>2</v>
      </c>
      <c r="C4" s="6" t="s">
        <v>93</v>
      </c>
      <c r="D4" s="30" t="s">
        <v>27</v>
      </c>
      <c r="E4" s="30" t="s">
        <v>7</v>
      </c>
      <c r="F4" s="54" t="s">
        <v>144</v>
      </c>
      <c r="G4" s="146">
        <v>46114</v>
      </c>
      <c r="H4" s="2" t="s">
        <v>6</v>
      </c>
      <c r="I4" s="57">
        <v>561855.81999999995</v>
      </c>
      <c r="J4" s="149" cm="1">
        <f t="array" ref="J4">_xlfn.IFS(D4="INDUSTOWER","40",D4="RELIANCEIN","44",D4="SIEMENSLTD","120",D4="CLEANMAX","40",D4="AVAADA","40",D4="ARCHTECH","40")+G4</f>
        <v>46154</v>
      </c>
      <c r="K4" s="150">
        <v>46129</v>
      </c>
      <c r="L4" s="149">
        <f t="shared" si="0"/>
        <v>46174</v>
      </c>
      <c r="M4" s="6">
        <v>10003</v>
      </c>
      <c r="N4" s="148">
        <f t="shared" si="1"/>
        <v>46114</v>
      </c>
      <c r="O4" s="147"/>
      <c r="P4" s="223"/>
      <c r="Q4" s="18" t="s">
        <v>76</v>
      </c>
      <c r="R4" s="18">
        <f t="shared" si="2"/>
        <v>505670.23799999995</v>
      </c>
      <c r="S4" s="3">
        <v>7.6999999999999999E-2</v>
      </c>
      <c r="T4" s="145">
        <f t="shared" si="3"/>
        <v>45</v>
      </c>
      <c r="U4" s="4">
        <f t="shared" si="4"/>
        <v>4800</v>
      </c>
      <c r="V4" s="4">
        <f t="shared" si="5"/>
        <v>500870.23799999995</v>
      </c>
      <c r="W4" s="17"/>
      <c r="X4" s="6"/>
      <c r="Y4" s="5"/>
      <c r="Z4" s="94"/>
      <c r="AA4" s="20"/>
      <c r="AB4" s="19"/>
      <c r="AC4" s="165" cm="1">
        <f t="array" ref="AC4">_xlfn.IFS(D4="INDUSTOWER","275000000",D4="RELIANCEIN","220000000",D4="SIEMENSLTD","83330000")-I4</f>
        <v>274438144.18000001</v>
      </c>
    </row>
    <row r="5" spans="1:29" x14ac:dyDescent="0.25">
      <c r="A5" s="1">
        <v>1</v>
      </c>
      <c r="B5" s="1">
        <f>SUBTOTAL(3,C$3:C5)</f>
        <v>3</v>
      </c>
      <c r="C5" s="6" t="s">
        <v>93</v>
      </c>
      <c r="D5" s="30" t="s">
        <v>27</v>
      </c>
      <c r="E5" s="30" t="s">
        <v>7</v>
      </c>
      <c r="F5" s="54" t="s">
        <v>145</v>
      </c>
      <c r="G5" s="146">
        <v>46114</v>
      </c>
      <c r="H5" s="2" t="s">
        <v>6</v>
      </c>
      <c r="I5" s="57">
        <v>561855.81999999995</v>
      </c>
      <c r="J5" s="149" cm="1">
        <f t="array" ref="J5">_xlfn.IFS(D5="INDUSTOWER","40",D5="RELIANCEIN","44",D5="SIEMENSLTD","120",D5="CLEANMAX","40",D5="AVAADA","40",D5="ARCHTECH","40")+G5</f>
        <v>46154</v>
      </c>
      <c r="K5" s="150">
        <v>46129</v>
      </c>
      <c r="L5" s="149">
        <f t="shared" si="0"/>
        <v>46174</v>
      </c>
      <c r="M5" s="6">
        <v>10002</v>
      </c>
      <c r="N5" s="148">
        <f t="shared" si="1"/>
        <v>46114</v>
      </c>
      <c r="O5" s="147"/>
      <c r="P5" s="223"/>
      <c r="Q5" s="18" t="s">
        <v>76</v>
      </c>
      <c r="R5" s="18">
        <f t="shared" si="2"/>
        <v>505670.23799999995</v>
      </c>
      <c r="S5" s="3">
        <v>7.6999999999999999E-2</v>
      </c>
      <c r="T5" s="145">
        <f t="shared" si="3"/>
        <v>45</v>
      </c>
      <c r="U5" s="4">
        <f t="shared" si="4"/>
        <v>4800</v>
      </c>
      <c r="V5" s="4">
        <f t="shared" si="5"/>
        <v>500870.23799999995</v>
      </c>
      <c r="W5" s="17"/>
      <c r="X5" s="6"/>
      <c r="Y5" s="5"/>
      <c r="Z5" s="94"/>
      <c r="AA5" s="20"/>
      <c r="AB5" s="19"/>
      <c r="AC5" s="165" cm="1">
        <f t="array" ref="AC5">_xlfn.IFS(D5="INDUSTOWER","275000000",D5="RELIANCEIN","220000000",D5="SIEMENSLTD","83330000")-I5</f>
        <v>274438144.18000001</v>
      </c>
    </row>
    <row r="6" spans="1:29" x14ac:dyDescent="0.25">
      <c r="A6" s="1">
        <v>1</v>
      </c>
      <c r="B6" s="1">
        <f>SUBTOTAL(3,C$3:C6)</f>
        <v>4</v>
      </c>
      <c r="C6" s="6" t="s">
        <v>93</v>
      </c>
      <c r="D6" s="30" t="s">
        <v>27</v>
      </c>
      <c r="E6" s="30" t="s">
        <v>7</v>
      </c>
      <c r="F6" s="54" t="s">
        <v>146</v>
      </c>
      <c r="G6" s="146">
        <v>46114</v>
      </c>
      <c r="H6" s="2" t="s">
        <v>6</v>
      </c>
      <c r="I6" s="57">
        <v>561855.81999999995</v>
      </c>
      <c r="J6" s="149" cm="1">
        <f t="array" ref="J6">_xlfn.IFS(D6="INDUSTOWER","40",D6="RELIANCEIN","44",D6="SIEMENSLTD","120",D6="CLEANMAX","40",D6="AVAADA","40",D6="ARCHTECH","40")+G6</f>
        <v>46154</v>
      </c>
      <c r="K6" s="150">
        <v>46129</v>
      </c>
      <c r="L6" s="149">
        <f t="shared" si="0"/>
        <v>46174</v>
      </c>
      <c r="M6" s="6">
        <v>10004</v>
      </c>
      <c r="N6" s="148">
        <f t="shared" si="1"/>
        <v>46114</v>
      </c>
      <c r="O6" s="147"/>
      <c r="P6" s="223"/>
      <c r="Q6" s="18" t="s">
        <v>76</v>
      </c>
      <c r="R6" s="18">
        <f t="shared" si="2"/>
        <v>505670.23799999995</v>
      </c>
      <c r="S6" s="3">
        <v>7.6999999999999999E-2</v>
      </c>
      <c r="T6" s="145">
        <f t="shared" si="3"/>
        <v>45</v>
      </c>
      <c r="U6" s="4">
        <f t="shared" si="4"/>
        <v>4800</v>
      </c>
      <c r="V6" s="4">
        <f t="shared" si="5"/>
        <v>500870.23799999995</v>
      </c>
      <c r="W6" s="17"/>
      <c r="X6" s="6"/>
      <c r="Y6" s="5"/>
      <c r="Z6" s="94"/>
      <c r="AA6" s="20"/>
      <c r="AB6" s="19"/>
      <c r="AC6" s="165" cm="1">
        <f t="array" ref="AC6">_xlfn.IFS(D6="INDUSTOWER","275000000",D6="RELIANCEIN","220000000",D6="SIEMENSLTD","83330000")-I6</f>
        <v>274438144.18000001</v>
      </c>
    </row>
    <row r="7" spans="1:29" x14ac:dyDescent="0.25">
      <c r="A7" s="1">
        <v>1</v>
      </c>
      <c r="B7" s="1">
        <f>SUBTOTAL(3,C$3:C7)</f>
        <v>5</v>
      </c>
      <c r="C7" s="6" t="s">
        <v>93</v>
      </c>
      <c r="D7" s="30" t="s">
        <v>27</v>
      </c>
      <c r="E7" s="30" t="s">
        <v>7</v>
      </c>
      <c r="F7" s="54" t="s">
        <v>147</v>
      </c>
      <c r="G7" s="146">
        <v>46115</v>
      </c>
      <c r="H7" s="2" t="s">
        <v>6</v>
      </c>
      <c r="I7" s="57">
        <v>561855.81999999995</v>
      </c>
      <c r="J7" s="149" cm="1">
        <f t="array" ref="J7">_xlfn.IFS(D7="INDUSTOWER","40",D7="RELIANCEIN","44",D7="SIEMENSLTD","120",D7="CLEANMAX","40",D7="AVAADA","40",D7="ARCHTECH","40")+G7</f>
        <v>46155</v>
      </c>
      <c r="K7" s="150">
        <v>46129</v>
      </c>
      <c r="L7" s="149">
        <f t="shared" si="0"/>
        <v>46175</v>
      </c>
      <c r="M7" s="6">
        <v>10005</v>
      </c>
      <c r="N7" s="148">
        <f t="shared" si="1"/>
        <v>46115</v>
      </c>
      <c r="O7" s="147"/>
      <c r="P7" s="223"/>
      <c r="Q7" s="18" t="s">
        <v>76</v>
      </c>
      <c r="R7" s="18">
        <f t="shared" si="2"/>
        <v>505670.23799999995</v>
      </c>
      <c r="S7" s="3">
        <v>7.6999999999999999E-2</v>
      </c>
      <c r="T7" s="145">
        <f t="shared" si="3"/>
        <v>46</v>
      </c>
      <c r="U7" s="4">
        <f t="shared" si="4"/>
        <v>4907</v>
      </c>
      <c r="V7" s="4">
        <f t="shared" si="5"/>
        <v>500763.23799999995</v>
      </c>
      <c r="W7" s="17"/>
      <c r="X7" s="6"/>
      <c r="Y7" s="5"/>
      <c r="Z7" s="94"/>
      <c r="AA7" s="20"/>
      <c r="AB7" s="19"/>
      <c r="AC7" s="165" cm="1">
        <f t="array" ref="AC7">_xlfn.IFS(D7="INDUSTOWER","275000000",D7="RELIANCEIN","220000000",D7="SIEMENSLTD","83330000")-I7</f>
        <v>274438144.18000001</v>
      </c>
    </row>
    <row r="8" spans="1:29" x14ac:dyDescent="0.25">
      <c r="A8" s="1">
        <v>1</v>
      </c>
      <c r="B8" s="1">
        <f>SUBTOTAL(3,C$3:C8)</f>
        <v>6</v>
      </c>
      <c r="C8" s="6" t="s">
        <v>93</v>
      </c>
      <c r="D8" s="30" t="s">
        <v>27</v>
      </c>
      <c r="E8" s="30" t="s">
        <v>7</v>
      </c>
      <c r="F8" s="54" t="s">
        <v>148</v>
      </c>
      <c r="G8" s="146">
        <v>46115</v>
      </c>
      <c r="H8" s="2" t="s">
        <v>6</v>
      </c>
      <c r="I8" s="57">
        <v>561855.81999999995</v>
      </c>
      <c r="J8" s="149" cm="1">
        <f t="array" ref="J8">_xlfn.IFS(D8="INDUSTOWER","40",D8="RELIANCEIN","44",D8="SIEMENSLTD","120",D8="CLEANMAX","40",D8="AVAADA","40",D8="ARCHTECH","40")+G8</f>
        <v>46155</v>
      </c>
      <c r="K8" s="150">
        <v>46129</v>
      </c>
      <c r="L8" s="149">
        <f t="shared" si="0"/>
        <v>46175</v>
      </c>
      <c r="M8" s="6">
        <v>10006</v>
      </c>
      <c r="N8" s="148">
        <f t="shared" si="1"/>
        <v>46115</v>
      </c>
      <c r="O8" s="147"/>
      <c r="P8" s="223"/>
      <c r="Q8" s="18" t="s">
        <v>76</v>
      </c>
      <c r="R8" s="18">
        <f t="shared" si="2"/>
        <v>505670.23799999995</v>
      </c>
      <c r="S8" s="3">
        <v>7.6999999999999999E-2</v>
      </c>
      <c r="T8" s="145">
        <f t="shared" si="3"/>
        <v>46</v>
      </c>
      <c r="U8" s="4">
        <f t="shared" si="4"/>
        <v>4907</v>
      </c>
      <c r="V8" s="4">
        <f t="shared" si="5"/>
        <v>500763.23799999995</v>
      </c>
      <c r="W8" s="17"/>
      <c r="X8" s="6"/>
      <c r="Y8" s="5"/>
      <c r="Z8" s="94"/>
      <c r="AA8" s="20"/>
      <c r="AB8" s="19"/>
      <c r="AC8" s="165" cm="1">
        <f t="array" ref="AC8">_xlfn.IFS(D8="INDUSTOWER","275000000",D8="RELIANCEIN","220000000",D8="SIEMENSLTD","83330000")-I8</f>
        <v>274438144.18000001</v>
      </c>
    </row>
    <row r="9" spans="1:29" x14ac:dyDescent="0.25">
      <c r="A9" s="1">
        <v>1</v>
      </c>
      <c r="B9" s="1">
        <f>SUBTOTAL(3,C$3:C9)</f>
        <v>7</v>
      </c>
      <c r="C9" s="6" t="s">
        <v>93</v>
      </c>
      <c r="D9" s="30" t="s">
        <v>27</v>
      </c>
      <c r="E9" s="30" t="s">
        <v>7</v>
      </c>
      <c r="F9" s="54" t="s">
        <v>149</v>
      </c>
      <c r="G9" s="146">
        <v>46115</v>
      </c>
      <c r="H9" s="2" t="s">
        <v>6</v>
      </c>
      <c r="I9" s="57">
        <v>442595.58</v>
      </c>
      <c r="J9" s="149" cm="1">
        <f t="array" ref="J9">_xlfn.IFS(D9="INDUSTOWER","40",D9="RELIANCEIN","44",D9="SIEMENSLTD","120",D9="CLEANMAX","40",D9="AVAADA","40",D9="ARCHTECH","40")+G9</f>
        <v>46155</v>
      </c>
      <c r="K9" s="150">
        <v>46129</v>
      </c>
      <c r="L9" s="149">
        <f t="shared" si="0"/>
        <v>46175</v>
      </c>
      <c r="M9" s="6">
        <v>10007</v>
      </c>
      <c r="N9" s="148">
        <f t="shared" si="1"/>
        <v>46115</v>
      </c>
      <c r="O9" s="147"/>
      <c r="P9" s="223"/>
      <c r="Q9" s="18" t="s">
        <v>36</v>
      </c>
      <c r="R9" s="18">
        <f t="shared" si="2"/>
        <v>398336.022</v>
      </c>
      <c r="S9" s="3">
        <v>7.6999999999999999E-2</v>
      </c>
      <c r="T9" s="145">
        <f t="shared" si="3"/>
        <v>46</v>
      </c>
      <c r="U9" s="4">
        <f t="shared" si="4"/>
        <v>3865</v>
      </c>
      <c r="V9" s="4">
        <f t="shared" si="5"/>
        <v>394471.022</v>
      </c>
      <c r="W9" s="17"/>
      <c r="X9" s="6"/>
      <c r="Y9" s="5"/>
      <c r="Z9" s="94"/>
      <c r="AA9" s="20"/>
      <c r="AB9" s="19"/>
      <c r="AC9" s="165" cm="1">
        <f t="array" ref="AC9">_xlfn.IFS(D9="INDUSTOWER","275000000",D9="RELIANCEIN","220000000",D9="SIEMENSLTD","83330000")-I9</f>
        <v>274557404.42000002</v>
      </c>
    </row>
    <row r="10" spans="1:29" x14ac:dyDescent="0.25">
      <c r="A10" s="1">
        <v>1</v>
      </c>
      <c r="B10" s="1">
        <f>SUBTOTAL(3,C$3:C10)</f>
        <v>8</v>
      </c>
      <c r="C10" s="6" t="s">
        <v>93</v>
      </c>
      <c r="D10" s="30" t="s">
        <v>27</v>
      </c>
      <c r="E10" s="30" t="s">
        <v>7</v>
      </c>
      <c r="F10" s="54" t="s">
        <v>150</v>
      </c>
      <c r="G10" s="146">
        <v>46117</v>
      </c>
      <c r="H10" s="2" t="s">
        <v>6</v>
      </c>
      <c r="I10" s="57">
        <v>752314.9</v>
      </c>
      <c r="J10" s="149" cm="1">
        <f t="array" ref="J10">_xlfn.IFS(D10="INDUSTOWER","40",D10="RELIANCEIN","44",D10="SIEMENSLTD","120",D10="CLEANMAX","40",D10="AVAADA","40",D10="ARCHTECH","40")+G10</f>
        <v>46157</v>
      </c>
      <c r="K10" s="150">
        <v>46129</v>
      </c>
      <c r="L10" s="149">
        <f t="shared" si="0"/>
        <v>46177</v>
      </c>
      <c r="M10" s="6">
        <v>78287</v>
      </c>
      <c r="N10" s="148">
        <f t="shared" si="1"/>
        <v>46117</v>
      </c>
      <c r="O10" s="147"/>
      <c r="P10" s="223"/>
      <c r="Q10" s="18" t="s">
        <v>52</v>
      </c>
      <c r="R10" s="18">
        <f t="shared" si="2"/>
        <v>677083.41</v>
      </c>
      <c r="S10" s="3">
        <v>7.6999999999999999E-2</v>
      </c>
      <c r="T10" s="145">
        <f t="shared" si="3"/>
        <v>48</v>
      </c>
      <c r="U10" s="4">
        <f t="shared" si="4"/>
        <v>6856</v>
      </c>
      <c r="V10" s="4">
        <f t="shared" si="5"/>
        <v>670227.41</v>
      </c>
      <c r="W10" s="17"/>
      <c r="X10" s="6"/>
      <c r="Y10" s="5"/>
      <c r="Z10" s="94"/>
      <c r="AA10" s="20"/>
      <c r="AB10" s="19"/>
      <c r="AC10" s="165" cm="1">
        <f t="array" ref="AC10">_xlfn.IFS(D10="INDUSTOWER","275000000",D10="RELIANCEIN","220000000",D10="SIEMENSLTD","83330000")-I10</f>
        <v>274247685.10000002</v>
      </c>
    </row>
    <row r="11" spans="1:29" x14ac:dyDescent="0.25">
      <c r="A11" s="1">
        <v>1</v>
      </c>
      <c r="B11" s="1">
        <f>SUBTOTAL(3,C$3:C11)</f>
        <v>9</v>
      </c>
      <c r="C11" s="6" t="s">
        <v>93</v>
      </c>
      <c r="D11" s="30" t="s">
        <v>27</v>
      </c>
      <c r="E11" s="30" t="s">
        <v>7</v>
      </c>
      <c r="F11" s="54" t="s">
        <v>151</v>
      </c>
      <c r="G11" s="146">
        <v>46117</v>
      </c>
      <c r="H11" s="2" t="s">
        <v>6</v>
      </c>
      <c r="I11" s="57">
        <v>689850.92</v>
      </c>
      <c r="J11" s="149" cm="1">
        <f t="array" ref="J11">_xlfn.IFS(D11="INDUSTOWER","40",D11="RELIANCEIN","44",D11="SIEMENSLTD","120",D11="CLEANMAX","40",D11="AVAADA","40",D11="ARCHTECH","40")+G11</f>
        <v>46157</v>
      </c>
      <c r="K11" s="150">
        <v>46129</v>
      </c>
      <c r="L11" s="149">
        <f t="shared" si="0"/>
        <v>46177</v>
      </c>
      <c r="M11" s="6">
        <v>10010</v>
      </c>
      <c r="N11" s="148">
        <f t="shared" si="1"/>
        <v>46117</v>
      </c>
      <c r="O11" s="147"/>
      <c r="P11" s="223"/>
      <c r="Q11" s="18" t="s">
        <v>31</v>
      </c>
      <c r="R11" s="18">
        <f t="shared" si="2"/>
        <v>620865.8280000001</v>
      </c>
      <c r="S11" s="3">
        <v>7.6999999999999999E-2</v>
      </c>
      <c r="T11" s="145">
        <f t="shared" si="3"/>
        <v>48</v>
      </c>
      <c r="U11" s="4">
        <f t="shared" si="4"/>
        <v>6287</v>
      </c>
      <c r="V11" s="4">
        <f t="shared" si="5"/>
        <v>614578.8280000001</v>
      </c>
      <c r="W11" s="17"/>
      <c r="X11" s="6"/>
      <c r="Y11" s="5"/>
      <c r="Z11" s="94"/>
      <c r="AA11" s="20"/>
      <c r="AB11" s="19"/>
      <c r="AC11" s="165" cm="1">
        <f t="array" ref="AC11">_xlfn.IFS(D11="INDUSTOWER","275000000",D11="RELIANCEIN","220000000",D11="SIEMENSLTD","83330000")-I11</f>
        <v>274310149.07999998</v>
      </c>
    </row>
    <row r="12" spans="1:29" x14ac:dyDescent="0.25">
      <c r="A12" s="1">
        <v>1</v>
      </c>
      <c r="B12" s="1">
        <f>SUBTOTAL(3,C$3:C12)</f>
        <v>10</v>
      </c>
      <c r="C12" s="6" t="s">
        <v>93</v>
      </c>
      <c r="D12" s="30" t="s">
        <v>27</v>
      </c>
      <c r="E12" s="30" t="s">
        <v>7</v>
      </c>
      <c r="F12" s="54" t="s">
        <v>152</v>
      </c>
      <c r="G12" s="146">
        <v>46117</v>
      </c>
      <c r="H12" s="2" t="s">
        <v>6</v>
      </c>
      <c r="I12" s="57">
        <v>689850.92</v>
      </c>
      <c r="J12" s="149" cm="1">
        <f t="array" ref="J12">_xlfn.IFS(D12="INDUSTOWER","40",D12="RELIANCEIN","44",D12="SIEMENSLTD","120",D12="CLEANMAX","40",D12="AVAADA","40",D12="ARCHTECH","40")+G12</f>
        <v>46157</v>
      </c>
      <c r="K12" s="150">
        <v>46129</v>
      </c>
      <c r="L12" s="149">
        <f t="shared" si="0"/>
        <v>46177</v>
      </c>
      <c r="M12" s="6">
        <v>10011</v>
      </c>
      <c r="N12" s="148">
        <f t="shared" si="1"/>
        <v>46117</v>
      </c>
      <c r="O12" s="147"/>
      <c r="P12" s="223"/>
      <c r="Q12" s="18" t="s">
        <v>31</v>
      </c>
      <c r="R12" s="18">
        <f t="shared" si="2"/>
        <v>620865.8280000001</v>
      </c>
      <c r="S12" s="3">
        <v>7.6999999999999999E-2</v>
      </c>
      <c r="T12" s="145">
        <f t="shared" si="3"/>
        <v>48</v>
      </c>
      <c r="U12" s="4">
        <f t="shared" si="4"/>
        <v>6287</v>
      </c>
      <c r="V12" s="4">
        <f t="shared" si="5"/>
        <v>614578.8280000001</v>
      </c>
      <c r="W12" s="17"/>
      <c r="X12" s="6"/>
      <c r="Y12" s="5"/>
      <c r="Z12" s="94"/>
      <c r="AA12" s="20"/>
      <c r="AB12" s="19"/>
      <c r="AC12" s="165" cm="1">
        <f t="array" ref="AC12">_xlfn.IFS(D12="INDUSTOWER","275000000",D12="RELIANCEIN","220000000",D12="SIEMENSLTD","83330000")-I12</f>
        <v>274310149.07999998</v>
      </c>
    </row>
    <row r="13" spans="1:29" x14ac:dyDescent="0.25">
      <c r="A13" s="1">
        <v>1</v>
      </c>
      <c r="B13" s="1">
        <f>SUBTOTAL(3,C$3:C13)</f>
        <v>11</v>
      </c>
      <c r="C13" s="6" t="s">
        <v>93</v>
      </c>
      <c r="D13" s="30" t="s">
        <v>27</v>
      </c>
      <c r="E13" s="30" t="s">
        <v>7</v>
      </c>
      <c r="F13" s="54" t="s">
        <v>153</v>
      </c>
      <c r="G13" s="146">
        <v>46117</v>
      </c>
      <c r="H13" s="2" t="s">
        <v>6</v>
      </c>
      <c r="I13" s="57">
        <v>232106</v>
      </c>
      <c r="J13" s="149" cm="1">
        <f t="array" ref="J13">_xlfn.IFS(D13="INDUSTOWER","40",D13="RELIANCEIN","44",D13="SIEMENSLTD","120",D13="CLEANMAX","40",D13="AVAADA","40",D13="ARCHTECH","40")+G13</f>
        <v>46157</v>
      </c>
      <c r="K13" s="150">
        <v>46129</v>
      </c>
      <c r="L13" s="149">
        <f t="shared" si="0"/>
        <v>46177</v>
      </c>
      <c r="M13" s="6">
        <v>10014</v>
      </c>
      <c r="N13" s="148">
        <f t="shared" si="1"/>
        <v>46117</v>
      </c>
      <c r="O13" s="147"/>
      <c r="P13" s="223"/>
      <c r="Q13" s="18" t="s">
        <v>127</v>
      </c>
      <c r="R13" s="18">
        <f t="shared" si="2"/>
        <v>208895.4</v>
      </c>
      <c r="S13" s="3">
        <v>7.6999999999999999E-2</v>
      </c>
      <c r="T13" s="145">
        <f t="shared" si="3"/>
        <v>48</v>
      </c>
      <c r="U13" s="4">
        <f t="shared" si="4"/>
        <v>2115</v>
      </c>
      <c r="V13" s="4">
        <f t="shared" si="5"/>
        <v>206780.4</v>
      </c>
      <c r="W13" s="17"/>
      <c r="X13" s="6"/>
      <c r="Y13" s="5"/>
      <c r="Z13" s="94"/>
      <c r="AA13" s="20"/>
      <c r="AB13" s="19"/>
      <c r="AC13" s="165" cm="1">
        <f t="array" ref="AC13">_xlfn.IFS(D13="INDUSTOWER","275000000",D13="RELIANCEIN","220000000",D13="SIEMENSLTD","83330000")-I13</f>
        <v>274767894</v>
      </c>
    </row>
    <row r="14" spans="1:29" x14ac:dyDescent="0.25">
      <c r="A14" s="1">
        <v>2</v>
      </c>
      <c r="B14" s="1">
        <f>SUBTOTAL(3,C$3:C14)</f>
        <v>12</v>
      </c>
      <c r="C14" s="6" t="s">
        <v>93</v>
      </c>
      <c r="D14" s="30" t="s">
        <v>27</v>
      </c>
      <c r="E14" s="30" t="s">
        <v>7</v>
      </c>
      <c r="F14" s="54" t="s">
        <v>154</v>
      </c>
      <c r="G14" s="146">
        <v>46118</v>
      </c>
      <c r="H14" s="2" t="s">
        <v>6</v>
      </c>
      <c r="I14" s="57">
        <v>647363.34</v>
      </c>
      <c r="J14" s="149" cm="1">
        <f t="array" ref="J14">_xlfn.IFS(D14="INDUSTOWER","40",D14="RELIANCEIN","44",D14="SIEMENSLTD","120",D14="CLEANMAX","40",D14="AVAADA","40",D14="ARCHTECH","40")+G14</f>
        <v>46158</v>
      </c>
      <c r="K14" s="150">
        <v>46129</v>
      </c>
      <c r="L14" s="149">
        <f t="shared" si="0"/>
        <v>46178</v>
      </c>
      <c r="M14" s="6">
        <v>10016</v>
      </c>
      <c r="N14" s="148">
        <f t="shared" si="1"/>
        <v>46118</v>
      </c>
      <c r="O14" s="147"/>
      <c r="P14" s="223"/>
      <c r="Q14" s="18" t="s">
        <v>70</v>
      </c>
      <c r="R14" s="18">
        <f t="shared" si="2"/>
        <v>582627.00599999994</v>
      </c>
      <c r="S14" s="3">
        <v>7.6999999999999999E-2</v>
      </c>
      <c r="T14" s="145">
        <f t="shared" si="3"/>
        <v>49</v>
      </c>
      <c r="U14" s="4">
        <f t="shared" si="4"/>
        <v>6023</v>
      </c>
      <c r="V14" s="4">
        <f t="shared" si="5"/>
        <v>576604.00599999994</v>
      </c>
      <c r="W14" s="17"/>
      <c r="X14" s="6"/>
      <c r="Y14" s="5"/>
      <c r="Z14" s="94"/>
      <c r="AA14" s="20"/>
      <c r="AB14" s="19"/>
      <c r="AC14" s="165" cm="1">
        <f t="array" ref="AC14">_xlfn.IFS(D14="INDUSTOWER","275000000",D14="RELIANCEIN","220000000",D14="SIEMENSLTD","83330000")-I14</f>
        <v>274352636.66000003</v>
      </c>
    </row>
    <row r="15" spans="1:29" x14ac:dyDescent="0.25">
      <c r="A15" s="1">
        <v>2</v>
      </c>
      <c r="B15" s="1">
        <f>SUBTOTAL(3,C$3:C15)</f>
        <v>13</v>
      </c>
      <c r="C15" s="6" t="s">
        <v>93</v>
      </c>
      <c r="D15" s="30" t="s">
        <v>27</v>
      </c>
      <c r="E15" s="30" t="s">
        <v>7</v>
      </c>
      <c r="F15" s="54" t="s">
        <v>155</v>
      </c>
      <c r="G15" s="146">
        <v>46118</v>
      </c>
      <c r="H15" s="2" t="s">
        <v>6</v>
      </c>
      <c r="I15" s="57">
        <v>647363.34</v>
      </c>
      <c r="J15" s="149" cm="1">
        <f t="array" ref="J15">_xlfn.IFS(D15="INDUSTOWER","40",D15="RELIANCEIN","44",D15="SIEMENSLTD","120",D15="CLEANMAX","40",D15="AVAADA","40",D15="ARCHTECH","40")+G15</f>
        <v>46158</v>
      </c>
      <c r="K15" s="150">
        <v>46129</v>
      </c>
      <c r="L15" s="149">
        <f t="shared" si="0"/>
        <v>46178</v>
      </c>
      <c r="M15" s="6">
        <v>10017</v>
      </c>
      <c r="N15" s="148">
        <f t="shared" si="1"/>
        <v>46118</v>
      </c>
      <c r="O15" s="147"/>
      <c r="P15" s="223"/>
      <c r="Q15" s="18" t="s">
        <v>70</v>
      </c>
      <c r="R15" s="18">
        <f t="shared" si="2"/>
        <v>582627.00599999994</v>
      </c>
      <c r="S15" s="3">
        <v>7.6999999999999999E-2</v>
      </c>
      <c r="T15" s="145">
        <f t="shared" si="3"/>
        <v>49</v>
      </c>
      <c r="U15" s="4">
        <f t="shared" si="4"/>
        <v>6023</v>
      </c>
      <c r="V15" s="4">
        <f t="shared" si="5"/>
        <v>576604.00599999994</v>
      </c>
      <c r="W15" s="17"/>
      <c r="X15" s="6"/>
      <c r="Y15" s="5"/>
      <c r="Z15" s="94"/>
      <c r="AA15" s="20"/>
      <c r="AB15" s="19"/>
      <c r="AC15" s="165" cm="1">
        <f t="array" ref="AC15">_xlfn.IFS(D15="INDUSTOWER","275000000",D15="RELIANCEIN","220000000",D15="SIEMENSLTD","83330000")-I15</f>
        <v>274352636.66000003</v>
      </c>
    </row>
    <row r="16" spans="1:29" x14ac:dyDescent="0.25">
      <c r="A16" s="1">
        <v>2</v>
      </c>
      <c r="B16" s="1">
        <f>SUBTOTAL(3,C$3:C16)</f>
        <v>14</v>
      </c>
      <c r="C16" s="6" t="s">
        <v>93</v>
      </c>
      <c r="D16" s="30" t="s">
        <v>27</v>
      </c>
      <c r="E16" s="30" t="s">
        <v>7</v>
      </c>
      <c r="F16" s="54" t="s">
        <v>156</v>
      </c>
      <c r="G16" s="146">
        <v>46118</v>
      </c>
      <c r="H16" s="2" t="s">
        <v>6</v>
      </c>
      <c r="I16" s="57">
        <v>647363.34</v>
      </c>
      <c r="J16" s="149" cm="1">
        <f t="array" ref="J16">_xlfn.IFS(D16="INDUSTOWER","40",D16="RELIANCEIN","44",D16="SIEMENSLTD","120",D16="CLEANMAX","40",D16="AVAADA","40",D16="ARCHTECH","40")+G16</f>
        <v>46158</v>
      </c>
      <c r="K16" s="150">
        <v>46129</v>
      </c>
      <c r="L16" s="149">
        <f t="shared" si="0"/>
        <v>46178</v>
      </c>
      <c r="M16" s="6">
        <v>10018</v>
      </c>
      <c r="N16" s="148">
        <f t="shared" si="1"/>
        <v>46118</v>
      </c>
      <c r="O16" s="147"/>
      <c r="P16" s="223"/>
      <c r="Q16" s="18" t="s">
        <v>70</v>
      </c>
      <c r="R16" s="18">
        <f t="shared" si="2"/>
        <v>582627.00599999994</v>
      </c>
      <c r="S16" s="3">
        <v>7.6999999999999999E-2</v>
      </c>
      <c r="T16" s="145">
        <f t="shared" si="3"/>
        <v>49</v>
      </c>
      <c r="U16" s="4">
        <f t="shared" si="4"/>
        <v>6023</v>
      </c>
      <c r="V16" s="4">
        <f t="shared" si="5"/>
        <v>576604.00599999994</v>
      </c>
      <c r="W16" s="17"/>
      <c r="X16" s="6"/>
      <c r="Y16" s="5"/>
      <c r="Z16" s="94"/>
      <c r="AA16" s="20"/>
      <c r="AB16" s="19"/>
      <c r="AC16" s="165" cm="1">
        <f t="array" ref="AC16">_xlfn.IFS(D16="INDUSTOWER","275000000",D16="RELIANCEIN","220000000",D16="SIEMENSLTD","83330000")-I16</f>
        <v>274352636.66000003</v>
      </c>
    </row>
    <row r="17" spans="1:29" x14ac:dyDescent="0.25">
      <c r="A17" s="1">
        <v>2</v>
      </c>
      <c r="B17" s="1">
        <f>SUBTOTAL(3,C$3:C17)</f>
        <v>15</v>
      </c>
      <c r="C17" s="6" t="s">
        <v>93</v>
      </c>
      <c r="D17" s="30" t="s">
        <v>27</v>
      </c>
      <c r="E17" s="30" t="s">
        <v>7</v>
      </c>
      <c r="F17" s="54" t="s">
        <v>157</v>
      </c>
      <c r="G17" s="146">
        <v>46118</v>
      </c>
      <c r="H17" s="2" t="s">
        <v>6</v>
      </c>
      <c r="I17" s="57">
        <v>647363.34</v>
      </c>
      <c r="J17" s="149" cm="1">
        <f t="array" ref="J17">_xlfn.IFS(D17="INDUSTOWER","40",D17="RELIANCEIN","44",D17="SIEMENSLTD","120",D17="CLEANMAX","40",D17="AVAADA","40",D17="ARCHTECH","40")+G17</f>
        <v>46158</v>
      </c>
      <c r="K17" s="150">
        <v>46129</v>
      </c>
      <c r="L17" s="149">
        <f t="shared" si="0"/>
        <v>46178</v>
      </c>
      <c r="M17" s="6">
        <v>10019</v>
      </c>
      <c r="N17" s="148">
        <f t="shared" si="1"/>
        <v>46118</v>
      </c>
      <c r="O17" s="147"/>
      <c r="P17" s="223"/>
      <c r="Q17" s="18" t="s">
        <v>70</v>
      </c>
      <c r="R17" s="18">
        <f t="shared" si="2"/>
        <v>582627.00599999994</v>
      </c>
      <c r="S17" s="3">
        <v>7.6999999999999999E-2</v>
      </c>
      <c r="T17" s="145">
        <f t="shared" si="3"/>
        <v>49</v>
      </c>
      <c r="U17" s="4">
        <f t="shared" si="4"/>
        <v>6023</v>
      </c>
      <c r="V17" s="4">
        <f t="shared" si="5"/>
        <v>576604.00599999994</v>
      </c>
      <c r="W17" s="17"/>
      <c r="X17" s="6"/>
      <c r="Y17" s="5"/>
      <c r="Z17" s="94"/>
      <c r="AA17" s="20"/>
      <c r="AB17" s="19"/>
      <c r="AC17" s="165" cm="1">
        <f t="array" ref="AC17">_xlfn.IFS(D17="INDUSTOWER","275000000",D17="RELIANCEIN","220000000",D17="SIEMENSLTD","83330000")-I17</f>
        <v>274352636.66000003</v>
      </c>
    </row>
    <row r="18" spans="1:29" x14ac:dyDescent="0.25">
      <c r="A18" s="1">
        <v>3</v>
      </c>
      <c r="B18" s="1">
        <f>SUBTOTAL(3,C$3:C18)</f>
        <v>16</v>
      </c>
      <c r="C18" s="6" t="s">
        <v>93</v>
      </c>
      <c r="D18" s="30" t="s">
        <v>27</v>
      </c>
      <c r="E18" s="30" t="s">
        <v>7</v>
      </c>
      <c r="F18" s="54" t="s">
        <v>158</v>
      </c>
      <c r="G18" s="146">
        <v>46120</v>
      </c>
      <c r="H18" s="2" t="s">
        <v>6</v>
      </c>
      <c r="I18" s="57">
        <v>647363.34</v>
      </c>
      <c r="J18" s="149" cm="1">
        <f t="array" ref="J18">_xlfn.IFS(D18="INDUSTOWER","40",D18="RELIANCEIN","44",D18="SIEMENSLTD","120",D18="CLEANMAX","40",D18="AVAADA","40",D18="ARCHTECH","40")+G18</f>
        <v>46160</v>
      </c>
      <c r="K18" s="150">
        <v>46129</v>
      </c>
      <c r="L18" s="149">
        <f t="shared" si="0"/>
        <v>46180</v>
      </c>
      <c r="M18" s="6">
        <v>10020</v>
      </c>
      <c r="N18" s="148">
        <f t="shared" si="1"/>
        <v>46120</v>
      </c>
      <c r="O18" s="147"/>
      <c r="P18" s="223"/>
      <c r="Q18" s="18" t="s">
        <v>70</v>
      </c>
      <c r="R18" s="18">
        <f t="shared" si="2"/>
        <v>582627.00599999994</v>
      </c>
      <c r="S18" s="3">
        <v>7.6999999999999999E-2</v>
      </c>
      <c r="T18" s="145">
        <f t="shared" si="3"/>
        <v>51</v>
      </c>
      <c r="U18" s="4">
        <f t="shared" si="4"/>
        <v>6268</v>
      </c>
      <c r="V18" s="4">
        <f t="shared" si="5"/>
        <v>576359.00599999994</v>
      </c>
      <c r="W18" s="17"/>
      <c r="X18" s="6"/>
      <c r="Y18" s="5"/>
      <c r="Z18" s="94"/>
      <c r="AA18" s="20"/>
      <c r="AB18" s="19"/>
      <c r="AC18" s="165" cm="1">
        <f t="array" ref="AC18">_xlfn.IFS(D18="INDUSTOWER","275000000",D18="RELIANCEIN","220000000",D18="SIEMENSLTD","83330000")-I18</f>
        <v>274352636.66000003</v>
      </c>
    </row>
    <row r="19" spans="1:29" x14ac:dyDescent="0.25">
      <c r="A19" s="1">
        <v>3</v>
      </c>
      <c r="B19" s="1">
        <f>SUBTOTAL(3,C$3:C19)</f>
        <v>17</v>
      </c>
      <c r="C19" s="6" t="s">
        <v>93</v>
      </c>
      <c r="D19" s="30" t="s">
        <v>27</v>
      </c>
      <c r="E19" s="30" t="s">
        <v>7</v>
      </c>
      <c r="F19" s="54" t="s">
        <v>159</v>
      </c>
      <c r="G19" s="146">
        <v>46122</v>
      </c>
      <c r="H19" s="2" t="s">
        <v>6</v>
      </c>
      <c r="I19" s="57">
        <v>774998.04</v>
      </c>
      <c r="J19" s="149" cm="1">
        <f t="array" ref="J19">_xlfn.IFS(D19="INDUSTOWER","40",D19="RELIANCEIN","44",D19="SIEMENSLTD","120",D19="CLEANMAX","40",D19="AVAADA","40",D19="ARCHTECH","40")+G19</f>
        <v>46162</v>
      </c>
      <c r="K19" s="150">
        <v>46129</v>
      </c>
      <c r="L19" s="149">
        <f t="shared" si="0"/>
        <v>46182</v>
      </c>
      <c r="M19" s="6">
        <v>778</v>
      </c>
      <c r="N19" s="148">
        <f t="shared" si="1"/>
        <v>46122</v>
      </c>
      <c r="O19" s="147"/>
      <c r="P19" s="223"/>
      <c r="Q19" s="18" t="s">
        <v>52</v>
      </c>
      <c r="R19" s="18">
        <f t="shared" si="2"/>
        <v>697498.23600000003</v>
      </c>
      <c r="S19" s="3">
        <v>7.6999999999999999E-2</v>
      </c>
      <c r="T19" s="145">
        <f t="shared" si="3"/>
        <v>53</v>
      </c>
      <c r="U19" s="4">
        <f t="shared" si="4"/>
        <v>7799</v>
      </c>
      <c r="V19" s="4">
        <f t="shared" si="5"/>
        <v>689699.23600000003</v>
      </c>
      <c r="W19" s="17"/>
      <c r="X19" s="6"/>
      <c r="Y19" s="5"/>
      <c r="Z19" s="94"/>
      <c r="AA19" s="20"/>
      <c r="AB19" s="19"/>
      <c r="AC19" s="165" cm="1">
        <f t="array" ref="AC19">_xlfn.IFS(D19="INDUSTOWER","275000000",D19="RELIANCEIN","220000000",D19="SIEMENSLTD","83330000")-I19</f>
        <v>274225001.95999998</v>
      </c>
    </row>
    <row r="20" spans="1:29" x14ac:dyDescent="0.25">
      <c r="A20" s="1">
        <v>3</v>
      </c>
      <c r="B20" s="1">
        <f>SUBTOTAL(3,C$3:C20)</f>
        <v>18</v>
      </c>
      <c r="C20" s="6" t="s">
        <v>93</v>
      </c>
      <c r="D20" s="30" t="s">
        <v>27</v>
      </c>
      <c r="E20" s="30" t="s">
        <v>7</v>
      </c>
      <c r="F20" s="54" t="s">
        <v>160</v>
      </c>
      <c r="G20" s="146">
        <v>46122</v>
      </c>
      <c r="H20" s="2" t="s">
        <v>6</v>
      </c>
      <c r="I20" s="57">
        <v>774998.04</v>
      </c>
      <c r="J20" s="149" cm="1">
        <f t="array" ref="J20">_xlfn.IFS(D20="INDUSTOWER","40",D20="RELIANCEIN","44",D20="SIEMENSLTD","120",D20="CLEANMAX","40",D20="AVAADA","40",D20="ARCHTECH","40")+G20</f>
        <v>46162</v>
      </c>
      <c r="K20" s="150">
        <v>46129</v>
      </c>
      <c r="L20" s="149">
        <f t="shared" si="0"/>
        <v>46182</v>
      </c>
      <c r="M20" s="6">
        <v>10024</v>
      </c>
      <c r="N20" s="148">
        <f t="shared" si="1"/>
        <v>46122</v>
      </c>
      <c r="O20" s="147"/>
      <c r="P20" s="223"/>
      <c r="Q20" s="18" t="s">
        <v>52</v>
      </c>
      <c r="R20" s="18">
        <f t="shared" si="2"/>
        <v>697498.23600000003</v>
      </c>
      <c r="S20" s="3">
        <v>7.6999999999999999E-2</v>
      </c>
      <c r="T20" s="145">
        <f t="shared" si="3"/>
        <v>53</v>
      </c>
      <c r="U20" s="4">
        <f t="shared" si="4"/>
        <v>7799</v>
      </c>
      <c r="V20" s="4">
        <f t="shared" si="5"/>
        <v>689699.23600000003</v>
      </c>
      <c r="W20" s="17"/>
      <c r="X20" s="6"/>
      <c r="Y20" s="5"/>
      <c r="Z20" s="94"/>
      <c r="AA20" s="20"/>
      <c r="AB20" s="19"/>
      <c r="AC20" s="165" cm="1">
        <f t="array" ref="AC20">_xlfn.IFS(D20="INDUSTOWER","275000000",D20="RELIANCEIN","220000000",D20="SIEMENSLTD","83330000")-I20</f>
        <v>274225001.95999998</v>
      </c>
    </row>
    <row r="21" spans="1:29" x14ac:dyDescent="0.25">
      <c r="A21" s="1">
        <v>3</v>
      </c>
      <c r="B21" s="1">
        <f>SUBTOTAL(3,C$3:C21)</f>
        <v>19</v>
      </c>
      <c r="C21" s="6" t="s">
        <v>93</v>
      </c>
      <c r="D21" s="30" t="s">
        <v>27</v>
      </c>
      <c r="E21" s="30" t="s">
        <v>7</v>
      </c>
      <c r="F21" s="54" t="s">
        <v>161</v>
      </c>
      <c r="G21" s="146">
        <v>46122</v>
      </c>
      <c r="H21" s="2" t="s">
        <v>6</v>
      </c>
      <c r="I21" s="57">
        <v>774998.04</v>
      </c>
      <c r="J21" s="149" cm="1">
        <f t="array" ref="J21">_xlfn.IFS(D21="INDUSTOWER","40",D21="RELIANCEIN","44",D21="SIEMENSLTD","120",D21="CLEANMAX","40",D21="AVAADA","40",D21="ARCHTECH","40")+G21</f>
        <v>46162</v>
      </c>
      <c r="K21" s="150">
        <v>46129</v>
      </c>
      <c r="L21" s="149">
        <f t="shared" si="0"/>
        <v>46182</v>
      </c>
      <c r="M21" s="6">
        <v>779</v>
      </c>
      <c r="N21" s="148">
        <f t="shared" si="1"/>
        <v>46122</v>
      </c>
      <c r="O21" s="147"/>
      <c r="P21" s="223"/>
      <c r="Q21" s="18" t="s">
        <v>52</v>
      </c>
      <c r="R21" s="18">
        <f t="shared" si="2"/>
        <v>697498.23600000003</v>
      </c>
      <c r="S21" s="3">
        <v>7.6999999999999999E-2</v>
      </c>
      <c r="T21" s="145">
        <f t="shared" si="3"/>
        <v>53</v>
      </c>
      <c r="U21" s="4">
        <f t="shared" si="4"/>
        <v>7799</v>
      </c>
      <c r="V21" s="4">
        <f t="shared" si="5"/>
        <v>689699.23600000003</v>
      </c>
      <c r="W21" s="17"/>
      <c r="X21" s="6"/>
      <c r="Y21" s="5"/>
      <c r="Z21" s="94"/>
      <c r="AA21" s="20"/>
      <c r="AB21" s="19"/>
      <c r="AC21" s="165" cm="1">
        <f t="array" ref="AC21">_xlfn.IFS(D21="INDUSTOWER","275000000",D21="RELIANCEIN","220000000",D21="SIEMENSLTD","83330000")-I21</f>
        <v>274225001.95999998</v>
      </c>
    </row>
    <row r="22" spans="1:29" x14ac:dyDescent="0.25">
      <c r="A22" s="1">
        <v>3</v>
      </c>
      <c r="B22" s="1">
        <f>SUBTOTAL(3,C$3:C22)</f>
        <v>20</v>
      </c>
      <c r="C22" s="6" t="s">
        <v>93</v>
      </c>
      <c r="D22" s="30" t="s">
        <v>27</v>
      </c>
      <c r="E22" s="30" t="s">
        <v>7</v>
      </c>
      <c r="F22" s="54" t="s">
        <v>162</v>
      </c>
      <c r="G22" s="146">
        <v>46122</v>
      </c>
      <c r="H22" s="2" t="s">
        <v>6</v>
      </c>
      <c r="I22" s="57">
        <v>774998.04</v>
      </c>
      <c r="J22" s="149" cm="1">
        <f t="array" ref="J22">_xlfn.IFS(D22="INDUSTOWER","40",D22="RELIANCEIN","44",D22="SIEMENSLTD","120",D22="CLEANMAX","40",D22="AVAADA","40",D22="ARCHTECH","40")+G22</f>
        <v>46162</v>
      </c>
      <c r="K22" s="150">
        <v>46129</v>
      </c>
      <c r="L22" s="149">
        <f t="shared" si="0"/>
        <v>46182</v>
      </c>
      <c r="M22" s="6">
        <v>10025</v>
      </c>
      <c r="N22" s="148">
        <f t="shared" si="1"/>
        <v>46122</v>
      </c>
      <c r="O22" s="147"/>
      <c r="P22" s="223"/>
      <c r="Q22" s="18" t="s">
        <v>52</v>
      </c>
      <c r="R22" s="18">
        <f t="shared" si="2"/>
        <v>697498.23600000003</v>
      </c>
      <c r="S22" s="3">
        <v>7.6999999999999999E-2</v>
      </c>
      <c r="T22" s="145">
        <f t="shared" si="3"/>
        <v>53</v>
      </c>
      <c r="U22" s="4">
        <f t="shared" si="4"/>
        <v>7799</v>
      </c>
      <c r="V22" s="4">
        <f t="shared" si="5"/>
        <v>689699.23600000003</v>
      </c>
      <c r="W22" s="17"/>
      <c r="X22" s="6"/>
      <c r="Y22" s="5"/>
      <c r="Z22" s="94"/>
      <c r="AA22" s="20"/>
      <c r="AB22" s="19"/>
      <c r="AC22" s="165" cm="1">
        <f t="array" ref="AC22">_xlfn.IFS(D22="INDUSTOWER","275000000",D22="RELIANCEIN","220000000",D22="SIEMENSLTD","83330000")-I22</f>
        <v>274225001.95999998</v>
      </c>
    </row>
    <row r="23" spans="1:29" x14ac:dyDescent="0.25">
      <c r="A23" s="1">
        <v>3</v>
      </c>
      <c r="B23" s="1">
        <f>SUBTOTAL(3,C$3:C23)</f>
        <v>21</v>
      </c>
      <c r="C23" s="6" t="s">
        <v>93</v>
      </c>
      <c r="D23" s="30" t="s">
        <v>27</v>
      </c>
      <c r="E23" s="30" t="s">
        <v>7</v>
      </c>
      <c r="F23" s="54" t="s">
        <v>163</v>
      </c>
      <c r="G23" s="146">
        <v>46122</v>
      </c>
      <c r="H23" s="2" t="s">
        <v>6</v>
      </c>
      <c r="I23" s="57">
        <v>774998.04</v>
      </c>
      <c r="J23" s="149" cm="1">
        <f t="array" ref="J23">_xlfn.IFS(D23="INDUSTOWER","40",D23="RELIANCEIN","44",D23="SIEMENSLTD","120",D23="CLEANMAX","40",D23="AVAADA","40",D23="ARCHTECH","40")+G23</f>
        <v>46162</v>
      </c>
      <c r="K23" s="150">
        <v>46129</v>
      </c>
      <c r="L23" s="149">
        <f t="shared" si="0"/>
        <v>46182</v>
      </c>
      <c r="M23" s="6">
        <v>10026</v>
      </c>
      <c r="N23" s="148">
        <f t="shared" si="1"/>
        <v>46122</v>
      </c>
      <c r="O23" s="147"/>
      <c r="P23" s="223"/>
      <c r="Q23" s="18" t="s">
        <v>52</v>
      </c>
      <c r="R23" s="18">
        <f t="shared" si="2"/>
        <v>697498.23600000003</v>
      </c>
      <c r="S23" s="3">
        <v>7.6999999999999999E-2</v>
      </c>
      <c r="T23" s="145">
        <f t="shared" si="3"/>
        <v>53</v>
      </c>
      <c r="U23" s="4">
        <f t="shared" si="4"/>
        <v>7799</v>
      </c>
      <c r="V23" s="4">
        <f t="shared" si="5"/>
        <v>689699.23600000003</v>
      </c>
      <c r="W23" s="17"/>
      <c r="X23" s="6"/>
      <c r="Y23" s="5"/>
      <c r="Z23" s="94"/>
      <c r="AA23" s="20"/>
      <c r="AB23" s="19"/>
      <c r="AC23" s="165" cm="1">
        <f t="array" ref="AC23">_xlfn.IFS(D23="INDUSTOWER","275000000",D23="RELIANCEIN","220000000",D23="SIEMENSLTD","83330000")-I23</f>
        <v>274225001.95999998</v>
      </c>
    </row>
    <row r="24" spans="1:29" x14ac:dyDescent="0.25">
      <c r="A24" s="1">
        <v>3</v>
      </c>
      <c r="B24" s="1">
        <f>SUBTOTAL(3,C$3:C24)</f>
        <v>22</v>
      </c>
      <c r="C24" s="6" t="s">
        <v>93</v>
      </c>
      <c r="D24" s="30" t="s">
        <v>27</v>
      </c>
      <c r="E24" s="30" t="s">
        <v>7</v>
      </c>
      <c r="F24" s="54" t="s">
        <v>164</v>
      </c>
      <c r="G24" s="146">
        <v>46124</v>
      </c>
      <c r="H24" s="2" t="s">
        <v>6</v>
      </c>
      <c r="I24" s="57">
        <v>647363.34</v>
      </c>
      <c r="J24" s="149" cm="1">
        <f t="array" ref="J24">_xlfn.IFS(D24="INDUSTOWER","40",D24="RELIANCEIN","44",D24="SIEMENSLTD","120",D24="CLEANMAX","40",D24="AVAADA","40",D24="ARCHTECH","40")+G24</f>
        <v>46164</v>
      </c>
      <c r="K24" s="150">
        <v>46129</v>
      </c>
      <c r="L24" s="149">
        <f t="shared" si="0"/>
        <v>46184</v>
      </c>
      <c r="M24" s="6">
        <v>780</v>
      </c>
      <c r="N24" s="148">
        <f t="shared" si="1"/>
        <v>46124</v>
      </c>
      <c r="O24" s="147"/>
      <c r="P24" s="223"/>
      <c r="Q24" s="18" t="s">
        <v>70</v>
      </c>
      <c r="R24" s="18">
        <f t="shared" si="2"/>
        <v>582627.00599999994</v>
      </c>
      <c r="S24" s="3">
        <v>7.6999999999999999E-2</v>
      </c>
      <c r="T24" s="145">
        <f t="shared" si="3"/>
        <v>55</v>
      </c>
      <c r="U24" s="4">
        <f t="shared" si="4"/>
        <v>6760</v>
      </c>
      <c r="V24" s="4">
        <f t="shared" si="5"/>
        <v>575867.00599999994</v>
      </c>
      <c r="W24" s="17"/>
      <c r="X24" s="6"/>
      <c r="Y24" s="5"/>
      <c r="Z24" s="94"/>
      <c r="AA24" s="20"/>
      <c r="AB24" s="19"/>
      <c r="AC24" s="165" cm="1">
        <f t="array" ref="AC24">_xlfn.IFS(D24="INDUSTOWER","275000000",D24="RELIANCEIN","220000000",D24="SIEMENSLTD","83330000")-I24</f>
        <v>274352636.66000003</v>
      </c>
    </row>
    <row r="25" spans="1:29" x14ac:dyDescent="0.25">
      <c r="A25" s="1">
        <v>3</v>
      </c>
      <c r="B25" s="1">
        <f>SUBTOTAL(3,C$3:C25)</f>
        <v>23</v>
      </c>
      <c r="C25" s="6" t="s">
        <v>93</v>
      </c>
      <c r="D25" s="30" t="s">
        <v>27</v>
      </c>
      <c r="E25" s="30" t="s">
        <v>7</v>
      </c>
      <c r="F25" s="54" t="s">
        <v>165</v>
      </c>
      <c r="G25" s="146">
        <v>46124</v>
      </c>
      <c r="H25" s="2" t="s">
        <v>6</v>
      </c>
      <c r="I25" s="57">
        <v>147186.12</v>
      </c>
      <c r="J25" s="149" cm="1">
        <f t="array" ref="J25">_xlfn.IFS(D25="INDUSTOWER","40",D25="RELIANCEIN","44",D25="SIEMENSLTD","120",D25="CLEANMAX","40",D25="AVAADA","40",D25="ARCHTECH","40")+G25</f>
        <v>46164</v>
      </c>
      <c r="K25" s="150">
        <v>46129</v>
      </c>
      <c r="L25" s="149">
        <f t="shared" si="0"/>
        <v>46184</v>
      </c>
      <c r="M25" s="6">
        <v>781</v>
      </c>
      <c r="N25" s="148">
        <f t="shared" si="1"/>
        <v>46124</v>
      </c>
      <c r="O25" s="147"/>
      <c r="P25" s="223"/>
      <c r="Q25" s="18" t="s">
        <v>69</v>
      </c>
      <c r="R25" s="18">
        <f t="shared" si="2"/>
        <v>132467.508</v>
      </c>
      <c r="S25" s="3">
        <v>7.6999999999999999E-2</v>
      </c>
      <c r="T25" s="145">
        <f t="shared" si="3"/>
        <v>55</v>
      </c>
      <c r="U25" s="4">
        <f t="shared" si="4"/>
        <v>1537</v>
      </c>
      <c r="V25" s="4">
        <f t="shared" si="5"/>
        <v>130930.508</v>
      </c>
      <c r="W25" s="17"/>
      <c r="X25" s="6"/>
      <c r="Y25" s="5"/>
      <c r="Z25" s="94"/>
      <c r="AA25" s="20"/>
      <c r="AB25" s="19"/>
      <c r="AC25" s="165" cm="1">
        <f t="array" ref="AC25">_xlfn.IFS(D25="INDUSTOWER","275000000",D25="RELIANCEIN","220000000",D25="SIEMENSLTD","83330000")-I25</f>
        <v>274852813.88</v>
      </c>
    </row>
    <row r="26" spans="1:29" x14ac:dyDescent="0.25">
      <c r="A26" s="1">
        <v>3</v>
      </c>
      <c r="B26" s="1">
        <f>SUBTOTAL(3,C$3:C26)</f>
        <v>24</v>
      </c>
      <c r="C26" s="6" t="s">
        <v>93</v>
      </c>
      <c r="D26" s="30" t="s">
        <v>27</v>
      </c>
      <c r="E26" s="30" t="s">
        <v>7</v>
      </c>
      <c r="F26" s="54" t="s">
        <v>166</v>
      </c>
      <c r="G26" s="146">
        <v>46124</v>
      </c>
      <c r="H26" s="2" t="s">
        <v>6</v>
      </c>
      <c r="I26" s="57">
        <v>774998.04</v>
      </c>
      <c r="J26" s="149" cm="1">
        <f t="array" ref="J26">_xlfn.IFS(D26="INDUSTOWER","40",D26="RELIANCEIN","44",D26="SIEMENSLTD","120",D26="CLEANMAX","40",D26="AVAADA","40",D26="ARCHTECH","40")+G26</f>
        <v>46164</v>
      </c>
      <c r="K26" s="150">
        <v>46129</v>
      </c>
      <c r="L26" s="149">
        <f t="shared" si="0"/>
        <v>46184</v>
      </c>
      <c r="M26" s="6">
        <v>10030</v>
      </c>
      <c r="N26" s="148">
        <f t="shared" si="1"/>
        <v>46124</v>
      </c>
      <c r="O26" s="147"/>
      <c r="P26" s="223"/>
      <c r="Q26" s="18" t="s">
        <v>52</v>
      </c>
      <c r="R26" s="18">
        <f t="shared" si="2"/>
        <v>697498.23600000003</v>
      </c>
      <c r="S26" s="3">
        <v>7.6999999999999999E-2</v>
      </c>
      <c r="T26" s="145">
        <f t="shared" si="3"/>
        <v>55</v>
      </c>
      <c r="U26" s="4">
        <f t="shared" si="4"/>
        <v>8093</v>
      </c>
      <c r="V26" s="4">
        <f t="shared" si="5"/>
        <v>689405.23600000003</v>
      </c>
      <c r="W26" s="17"/>
      <c r="X26" s="6"/>
      <c r="Y26" s="5"/>
      <c r="Z26" s="94"/>
      <c r="AA26" s="20"/>
      <c r="AB26" s="19"/>
      <c r="AC26" s="165" cm="1">
        <f t="array" ref="AC26">_xlfn.IFS(D26="INDUSTOWER","275000000",D26="RELIANCEIN","220000000",D26="SIEMENSLTD","83330000")-I26</f>
        <v>274225001.95999998</v>
      </c>
    </row>
    <row r="27" spans="1:29" x14ac:dyDescent="0.25">
      <c r="A27" s="1">
        <v>3</v>
      </c>
      <c r="B27" s="1">
        <f>SUBTOTAL(3,C$3:C27)</f>
        <v>25</v>
      </c>
      <c r="C27" s="6" t="s">
        <v>93</v>
      </c>
      <c r="D27" s="30" t="s">
        <v>27</v>
      </c>
      <c r="E27" s="30" t="s">
        <v>7</v>
      </c>
      <c r="F27" s="54" t="s">
        <v>167</v>
      </c>
      <c r="G27" s="146">
        <v>46124</v>
      </c>
      <c r="H27" s="2" t="s">
        <v>6</v>
      </c>
      <c r="I27" s="57">
        <v>774998.04</v>
      </c>
      <c r="J27" s="149" cm="1">
        <f t="array" ref="J27">_xlfn.IFS(D27="INDUSTOWER","40",D27="RELIANCEIN","44",D27="SIEMENSLTD","120",D27="CLEANMAX","40",D27="AVAADA","40",D27="ARCHTECH","40")+G27</f>
        <v>46164</v>
      </c>
      <c r="K27" s="150">
        <v>46129</v>
      </c>
      <c r="L27" s="149">
        <f t="shared" si="0"/>
        <v>46184</v>
      </c>
      <c r="M27" s="6">
        <v>10031</v>
      </c>
      <c r="N27" s="148">
        <f t="shared" si="1"/>
        <v>46124</v>
      </c>
      <c r="O27" s="147"/>
      <c r="P27" s="223"/>
      <c r="Q27" s="18" t="s">
        <v>52</v>
      </c>
      <c r="R27" s="18">
        <f t="shared" si="2"/>
        <v>697498.23600000003</v>
      </c>
      <c r="S27" s="3">
        <v>7.6999999999999999E-2</v>
      </c>
      <c r="T27" s="145">
        <f t="shared" si="3"/>
        <v>55</v>
      </c>
      <c r="U27" s="4">
        <f t="shared" si="4"/>
        <v>8093</v>
      </c>
      <c r="V27" s="4">
        <f t="shared" si="5"/>
        <v>689405.23600000003</v>
      </c>
      <c r="W27" s="17"/>
      <c r="X27" s="6"/>
      <c r="Y27" s="5"/>
      <c r="Z27" s="94"/>
      <c r="AA27" s="20"/>
      <c r="AB27" s="19"/>
      <c r="AC27" s="165" cm="1">
        <f t="array" ref="AC27">_xlfn.IFS(D27="INDUSTOWER","275000000",D27="RELIANCEIN","220000000",D27="SIEMENSLTD","83330000")-I27</f>
        <v>274225001.95999998</v>
      </c>
    </row>
    <row r="28" spans="1:29" x14ac:dyDescent="0.25">
      <c r="A28" s="1">
        <v>3</v>
      </c>
      <c r="B28" s="1">
        <f>SUBTOTAL(3,C$3:C28)</f>
        <v>26</v>
      </c>
      <c r="C28" s="6" t="s">
        <v>93</v>
      </c>
      <c r="D28" s="30" t="s">
        <v>27</v>
      </c>
      <c r="E28" s="30" t="s">
        <v>7</v>
      </c>
      <c r="F28" s="54" t="s">
        <v>168</v>
      </c>
      <c r="G28" s="146">
        <v>46125</v>
      </c>
      <c r="H28" s="2" t="s">
        <v>6</v>
      </c>
      <c r="I28" s="89">
        <v>774998.04</v>
      </c>
      <c r="J28" s="149" cm="1">
        <f t="array" ref="J28">_xlfn.IFS(D28="INDUSTOWER","40",D28="RELIANCEIN","44",D28="SIEMENSLTD","120",D28="CLEANMAX","40",D28="AVAADA","40",D28="ARCHTECH","40")+G28</f>
        <v>46165</v>
      </c>
      <c r="K28" s="150">
        <v>46129</v>
      </c>
      <c r="L28" s="149">
        <f t="shared" si="0"/>
        <v>46185</v>
      </c>
      <c r="M28" s="6">
        <v>78501</v>
      </c>
      <c r="N28" s="148">
        <f t="shared" si="1"/>
        <v>46125</v>
      </c>
      <c r="O28" s="148"/>
      <c r="P28" s="223"/>
      <c r="Q28" s="18" t="s">
        <v>52</v>
      </c>
      <c r="R28" s="18">
        <f t="shared" si="2"/>
        <v>697498.23600000003</v>
      </c>
      <c r="S28" s="3">
        <v>7.6999999999999999E-2</v>
      </c>
      <c r="T28" s="145">
        <f t="shared" si="3"/>
        <v>56</v>
      </c>
      <c r="U28" s="4">
        <f t="shared" si="4"/>
        <v>8240</v>
      </c>
      <c r="V28" s="4">
        <f t="shared" si="5"/>
        <v>689258.23600000003</v>
      </c>
      <c r="W28" s="17"/>
      <c r="X28" s="6"/>
      <c r="Y28" s="5"/>
      <c r="Z28" s="94"/>
      <c r="AA28" s="20"/>
      <c r="AB28" s="19"/>
      <c r="AC28" s="165" cm="1">
        <f t="array" ref="AC28">_xlfn.IFS(D28="INDUSTOWER","275000000",D28="RELIANCEIN","220000000",D28="SIEMENSLTD","83330000")-I28</f>
        <v>274225001.95999998</v>
      </c>
    </row>
    <row r="29" spans="1:29" x14ac:dyDescent="0.25">
      <c r="A29" s="1">
        <v>3</v>
      </c>
      <c r="B29" s="1">
        <f>SUBTOTAL(3,C$3:C29)</f>
        <v>27</v>
      </c>
      <c r="C29" s="6" t="s">
        <v>93</v>
      </c>
      <c r="D29" s="30" t="s">
        <v>27</v>
      </c>
      <c r="E29" s="30" t="s">
        <v>7</v>
      </c>
      <c r="F29" s="54" t="s">
        <v>169</v>
      </c>
      <c r="G29" s="146">
        <v>46125</v>
      </c>
      <c r="H29" s="2" t="s">
        <v>6</v>
      </c>
      <c r="I29" s="89">
        <v>774998.04</v>
      </c>
      <c r="J29" s="149" cm="1">
        <f t="array" ref="J29">_xlfn.IFS(D29="INDUSTOWER","40",D29="RELIANCEIN","44",D29="SIEMENSLTD","120",D29="CLEANMAX","40",D29="AVAADA","40",D29="ARCHTECH","40")+G29</f>
        <v>46165</v>
      </c>
      <c r="K29" s="150">
        <v>46129</v>
      </c>
      <c r="L29" s="149">
        <f t="shared" si="0"/>
        <v>46185</v>
      </c>
      <c r="M29" s="6">
        <v>78502</v>
      </c>
      <c r="N29" s="148">
        <f t="shared" si="1"/>
        <v>46125</v>
      </c>
      <c r="O29" s="148"/>
      <c r="P29" s="223"/>
      <c r="Q29" s="18" t="s">
        <v>52</v>
      </c>
      <c r="R29" s="18">
        <f t="shared" si="2"/>
        <v>697498.23600000003</v>
      </c>
      <c r="S29" s="3">
        <v>7.6999999999999999E-2</v>
      </c>
      <c r="T29" s="145">
        <f t="shared" si="3"/>
        <v>56</v>
      </c>
      <c r="U29" s="4">
        <f t="shared" si="4"/>
        <v>8240</v>
      </c>
      <c r="V29" s="4">
        <f t="shared" si="5"/>
        <v>689258.23600000003</v>
      </c>
      <c r="W29" s="17"/>
      <c r="X29" s="6"/>
      <c r="Y29" s="5"/>
      <c r="Z29" s="94"/>
      <c r="AA29" s="20"/>
      <c r="AB29" s="19"/>
      <c r="AC29" s="165" cm="1">
        <f t="array" ref="AC29">_xlfn.IFS(D29="INDUSTOWER","275000000",D29="RELIANCEIN","220000000",D29="SIEMENSLTD","83330000")-I29</f>
        <v>274225001.95999998</v>
      </c>
    </row>
    <row r="30" spans="1:29" x14ac:dyDescent="0.25">
      <c r="A30" s="1">
        <v>3</v>
      </c>
      <c r="B30" s="1">
        <f>SUBTOTAL(3,C$3:C30)</f>
        <v>28</v>
      </c>
      <c r="C30" s="6" t="s">
        <v>93</v>
      </c>
      <c r="D30" s="30" t="s">
        <v>27</v>
      </c>
      <c r="E30" s="30" t="s">
        <v>7</v>
      </c>
      <c r="F30" s="54" t="s">
        <v>170</v>
      </c>
      <c r="G30" s="146">
        <v>46125</v>
      </c>
      <c r="H30" s="2" t="s">
        <v>6</v>
      </c>
      <c r="I30" s="89">
        <v>774998.04</v>
      </c>
      <c r="J30" s="149" cm="1">
        <f t="array" ref="J30">_xlfn.IFS(D30="INDUSTOWER","40",D30="RELIANCEIN","44",D30="SIEMENSLTD","120",D30="CLEANMAX","40",D30="AVAADA","40",D30="ARCHTECH","40")+G30</f>
        <v>46165</v>
      </c>
      <c r="K30" s="150">
        <v>46129</v>
      </c>
      <c r="L30" s="149">
        <f t="shared" si="0"/>
        <v>46185</v>
      </c>
      <c r="M30" s="6">
        <v>78503</v>
      </c>
      <c r="N30" s="148">
        <f t="shared" si="1"/>
        <v>46125</v>
      </c>
      <c r="O30" s="148"/>
      <c r="P30" s="223"/>
      <c r="Q30" s="18" t="s">
        <v>52</v>
      </c>
      <c r="R30" s="18">
        <f t="shared" si="2"/>
        <v>697498.23600000003</v>
      </c>
      <c r="S30" s="3">
        <v>7.6999999999999999E-2</v>
      </c>
      <c r="T30" s="145">
        <f t="shared" si="3"/>
        <v>56</v>
      </c>
      <c r="U30" s="4">
        <f t="shared" si="4"/>
        <v>8240</v>
      </c>
      <c r="V30" s="4">
        <f t="shared" si="5"/>
        <v>689258.23600000003</v>
      </c>
      <c r="W30" s="17"/>
      <c r="X30" s="6"/>
      <c r="Y30" s="5"/>
      <c r="Z30" s="94"/>
      <c r="AA30" s="20"/>
      <c r="AB30" s="19"/>
      <c r="AC30" s="165" cm="1">
        <f t="array" ref="AC30">_xlfn.IFS(D30="INDUSTOWER","275000000",D30="RELIANCEIN","220000000",D30="SIEMENSLTD","83330000")-I30</f>
        <v>274225001.95999998</v>
      </c>
    </row>
    <row r="31" spans="1:29" x14ac:dyDescent="0.25">
      <c r="A31" s="1">
        <v>4</v>
      </c>
      <c r="B31" s="1">
        <f>SUBTOTAL(3,C$3:C31)</f>
        <v>29</v>
      </c>
      <c r="C31" s="6" t="s">
        <v>93</v>
      </c>
      <c r="D31" s="30" t="s">
        <v>27</v>
      </c>
      <c r="E31" s="30" t="s">
        <v>7</v>
      </c>
      <c r="F31" s="54" t="s">
        <v>171</v>
      </c>
      <c r="G31" s="146">
        <v>46127</v>
      </c>
      <c r="H31" s="2" t="s">
        <v>6</v>
      </c>
      <c r="I31" s="89">
        <v>661895.04</v>
      </c>
      <c r="J31" s="149" cm="1">
        <f t="array" ref="J31">_xlfn.IFS(D31="INDUSTOWER","40",D31="RELIANCEIN","44",D31="SIEMENSLTD","120",D31="CLEANMAX","40",D31="AVAADA","40",D31="ARCHTECH","40")+G31</f>
        <v>46167</v>
      </c>
      <c r="K31" s="150">
        <v>46132</v>
      </c>
      <c r="L31" s="149">
        <f t="shared" si="0"/>
        <v>46187</v>
      </c>
      <c r="M31" s="6">
        <v>78510</v>
      </c>
      <c r="N31" s="148">
        <f t="shared" si="1"/>
        <v>46127</v>
      </c>
      <c r="O31" s="148"/>
      <c r="P31" s="223"/>
      <c r="Q31" s="18" t="s">
        <v>70</v>
      </c>
      <c r="R31" s="18">
        <f t="shared" si="2"/>
        <v>595705.53600000008</v>
      </c>
      <c r="S31" s="3">
        <v>7.6999999999999999E-2</v>
      </c>
      <c r="T31" s="145">
        <f t="shared" si="3"/>
        <v>55</v>
      </c>
      <c r="U31" s="4">
        <f t="shared" si="4"/>
        <v>6912</v>
      </c>
      <c r="V31" s="4">
        <f t="shared" si="5"/>
        <v>588793.53600000008</v>
      </c>
      <c r="W31" s="17"/>
      <c r="X31" s="6"/>
      <c r="Y31" s="94"/>
      <c r="Z31" s="94"/>
      <c r="AA31" s="20"/>
      <c r="AB31" s="19"/>
      <c r="AC31" s="165" cm="1">
        <f t="array" ref="AC31">_xlfn.IFS(D31="INDUSTOWER","275000000",D31="RELIANCEIN","220000000",D31="SIEMENSLTD","83330000")-I31</f>
        <v>274338104.95999998</v>
      </c>
    </row>
    <row r="32" spans="1:29" x14ac:dyDescent="0.25">
      <c r="A32" s="1">
        <v>4</v>
      </c>
      <c r="B32" s="1">
        <f>SUBTOTAL(3,C$3:C32)</f>
        <v>30</v>
      </c>
      <c r="C32" s="6" t="s">
        <v>93</v>
      </c>
      <c r="D32" s="30" t="s">
        <v>27</v>
      </c>
      <c r="E32" s="30" t="s">
        <v>7</v>
      </c>
      <c r="F32" s="54" t="s">
        <v>172</v>
      </c>
      <c r="G32" s="146">
        <v>46127</v>
      </c>
      <c r="H32" s="2" t="s">
        <v>6</v>
      </c>
      <c r="I32" s="89">
        <v>661895.04</v>
      </c>
      <c r="J32" s="149" cm="1">
        <f t="array" ref="J32">_xlfn.IFS(D32="INDUSTOWER","40",D32="RELIANCEIN","44",D32="SIEMENSLTD","120",D32="CLEANMAX","40",D32="AVAADA","40",D32="ARCHTECH","40")+G32</f>
        <v>46167</v>
      </c>
      <c r="K32" s="150">
        <v>46132</v>
      </c>
      <c r="L32" s="149">
        <f t="shared" si="0"/>
        <v>46187</v>
      </c>
      <c r="M32" s="6">
        <v>78511</v>
      </c>
      <c r="N32" s="148">
        <f t="shared" si="1"/>
        <v>46127</v>
      </c>
      <c r="O32" s="148"/>
      <c r="P32" s="223"/>
      <c r="Q32" s="18" t="s">
        <v>70</v>
      </c>
      <c r="R32" s="18">
        <f t="shared" si="2"/>
        <v>595705.53600000008</v>
      </c>
      <c r="S32" s="3">
        <v>7.6999999999999999E-2</v>
      </c>
      <c r="T32" s="145">
        <f t="shared" si="3"/>
        <v>55</v>
      </c>
      <c r="U32" s="4">
        <f t="shared" si="4"/>
        <v>6912</v>
      </c>
      <c r="V32" s="4">
        <f t="shared" si="5"/>
        <v>588793.53600000008</v>
      </c>
      <c r="W32" s="17"/>
      <c r="X32" s="6"/>
      <c r="Y32" s="94"/>
      <c r="Z32" s="94"/>
      <c r="AA32" s="20"/>
      <c r="AB32" s="19"/>
      <c r="AC32" s="165" cm="1">
        <f t="array" ref="AC32">_xlfn.IFS(D32="INDUSTOWER","275000000",D32="RELIANCEIN","220000000",D32="SIEMENSLTD","83330000")-I32</f>
        <v>274338104.95999998</v>
      </c>
    </row>
    <row r="33" spans="1:29" x14ac:dyDescent="0.25">
      <c r="A33" s="1">
        <v>4</v>
      </c>
      <c r="B33" s="1">
        <f>SUBTOTAL(3,C$3:C33)</f>
        <v>31</v>
      </c>
      <c r="C33" s="6" t="s">
        <v>93</v>
      </c>
      <c r="D33" s="30" t="s">
        <v>27</v>
      </c>
      <c r="E33" s="30" t="s">
        <v>7</v>
      </c>
      <c r="F33" s="54" t="s">
        <v>173</v>
      </c>
      <c r="G33" s="146">
        <v>46127</v>
      </c>
      <c r="H33" s="2" t="s">
        <v>6</v>
      </c>
      <c r="I33" s="89">
        <v>661895.04</v>
      </c>
      <c r="J33" s="149" cm="1">
        <f t="array" ref="J33">_xlfn.IFS(D33="INDUSTOWER","40",D33="RELIANCEIN","44",D33="SIEMENSLTD","120",D33="CLEANMAX","40",D33="AVAADA","40",D33="ARCHTECH","40")+G33</f>
        <v>46167</v>
      </c>
      <c r="K33" s="150">
        <v>46132</v>
      </c>
      <c r="L33" s="149">
        <f t="shared" si="0"/>
        <v>46187</v>
      </c>
      <c r="M33" s="6">
        <v>21123</v>
      </c>
      <c r="N33" s="148">
        <f t="shared" si="1"/>
        <v>46127</v>
      </c>
      <c r="O33" s="148"/>
      <c r="P33" s="223"/>
      <c r="Q33" s="18" t="s">
        <v>70</v>
      </c>
      <c r="R33" s="18">
        <f t="shared" si="2"/>
        <v>595705.53600000008</v>
      </c>
      <c r="S33" s="3">
        <v>7.6999999999999999E-2</v>
      </c>
      <c r="T33" s="145">
        <f t="shared" si="3"/>
        <v>55</v>
      </c>
      <c r="U33" s="4">
        <f t="shared" si="4"/>
        <v>6912</v>
      </c>
      <c r="V33" s="4">
        <f t="shared" si="5"/>
        <v>588793.53600000008</v>
      </c>
      <c r="W33" s="17"/>
      <c r="X33" s="6"/>
      <c r="Y33" s="94"/>
      <c r="Z33" s="94"/>
      <c r="AA33" s="20"/>
      <c r="AB33" s="19"/>
      <c r="AC33" s="165" cm="1">
        <f t="array" ref="AC33">_xlfn.IFS(D33="INDUSTOWER","275000000",D33="RELIANCEIN","220000000",D33="SIEMENSLTD","83330000")-I33</f>
        <v>274338104.95999998</v>
      </c>
    </row>
    <row r="34" spans="1:29" x14ac:dyDescent="0.25">
      <c r="A34" s="1">
        <v>4</v>
      </c>
      <c r="B34" s="1">
        <f>SUBTOTAL(3,C$3:C34)</f>
        <v>32</v>
      </c>
      <c r="C34" s="6" t="s">
        <v>93</v>
      </c>
      <c r="D34" s="30" t="s">
        <v>27</v>
      </c>
      <c r="E34" s="30" t="s">
        <v>7</v>
      </c>
      <c r="F34" s="54" t="s">
        <v>174</v>
      </c>
      <c r="G34" s="146">
        <v>46127</v>
      </c>
      <c r="H34" s="2" t="s">
        <v>6</v>
      </c>
      <c r="I34" s="89">
        <v>661895.04</v>
      </c>
      <c r="J34" s="149" cm="1">
        <f t="array" ref="J34">_xlfn.IFS(D34="INDUSTOWER","40",D34="RELIANCEIN","44",D34="SIEMENSLTD","120",D34="CLEANMAX","40",D34="AVAADA","40",D34="ARCHTECH","40")+G34</f>
        <v>46167</v>
      </c>
      <c r="K34" s="150">
        <v>46132</v>
      </c>
      <c r="L34" s="149">
        <f t="shared" si="0"/>
        <v>46187</v>
      </c>
      <c r="M34" s="6">
        <v>78512</v>
      </c>
      <c r="N34" s="148">
        <f t="shared" si="1"/>
        <v>46127</v>
      </c>
      <c r="O34" s="148"/>
      <c r="P34" s="223"/>
      <c r="Q34" s="18" t="s">
        <v>70</v>
      </c>
      <c r="R34" s="18">
        <f t="shared" si="2"/>
        <v>595705.53600000008</v>
      </c>
      <c r="S34" s="3">
        <v>7.6999999999999999E-2</v>
      </c>
      <c r="T34" s="145">
        <f t="shared" si="3"/>
        <v>55</v>
      </c>
      <c r="U34" s="4">
        <f t="shared" si="4"/>
        <v>6912</v>
      </c>
      <c r="V34" s="4">
        <f t="shared" si="5"/>
        <v>588793.53600000008</v>
      </c>
      <c r="W34" s="17"/>
      <c r="X34" s="6"/>
      <c r="Y34" s="94"/>
      <c r="Z34" s="94"/>
      <c r="AA34" s="20"/>
      <c r="AB34" s="19"/>
      <c r="AC34" s="165" cm="1">
        <f t="array" ref="AC34">_xlfn.IFS(D34="INDUSTOWER","275000000",D34="RELIANCEIN","220000000",D34="SIEMENSLTD","83330000")-I34</f>
        <v>274338104.95999998</v>
      </c>
    </row>
    <row r="35" spans="1:29" x14ac:dyDescent="0.25">
      <c r="A35" s="1">
        <v>4</v>
      </c>
      <c r="B35" s="1">
        <f>SUBTOTAL(3,C$3:C35)</f>
        <v>33</v>
      </c>
      <c r="C35" s="6" t="s">
        <v>93</v>
      </c>
      <c r="D35" s="30" t="s">
        <v>27</v>
      </c>
      <c r="E35" s="30" t="s">
        <v>7</v>
      </c>
      <c r="F35" s="54" t="s">
        <v>175</v>
      </c>
      <c r="G35" s="146">
        <v>46131</v>
      </c>
      <c r="H35" s="2" t="s">
        <v>6</v>
      </c>
      <c r="I35" s="89">
        <v>506008.78</v>
      </c>
      <c r="J35" s="149" cm="1">
        <f t="array" ref="J35">_xlfn.IFS(D35="INDUSTOWER","40",D35="RELIANCEIN","44",D35="SIEMENSLTD","120",D35="CLEANMAX","40",D35="AVAADA","40",D35="ARCHTECH","40")+G35</f>
        <v>46171</v>
      </c>
      <c r="K35" s="150">
        <v>46132</v>
      </c>
      <c r="L35" s="149">
        <f t="shared" si="0"/>
        <v>46191</v>
      </c>
      <c r="M35" s="6">
        <v>10038</v>
      </c>
      <c r="N35" s="148">
        <f t="shared" si="1"/>
        <v>46131</v>
      </c>
      <c r="O35" s="148"/>
      <c r="P35" s="223"/>
      <c r="Q35" s="18" t="s">
        <v>29</v>
      </c>
      <c r="R35" s="18">
        <f t="shared" si="2"/>
        <v>455407.90200000006</v>
      </c>
      <c r="S35" s="3">
        <v>7.6999999999999999E-2</v>
      </c>
      <c r="T35" s="145">
        <f t="shared" si="3"/>
        <v>59</v>
      </c>
      <c r="U35" s="4">
        <f t="shared" si="4"/>
        <v>5668</v>
      </c>
      <c r="V35" s="4">
        <f t="shared" si="5"/>
        <v>449739.90200000006</v>
      </c>
      <c r="W35" s="17"/>
      <c r="X35" s="6"/>
      <c r="Y35" s="94"/>
      <c r="Z35" s="94"/>
      <c r="AA35" s="20"/>
      <c r="AB35" s="19"/>
      <c r="AC35" s="165" cm="1">
        <f t="array" ref="AC35">_xlfn.IFS(D35="INDUSTOWER","275000000",D35="RELIANCEIN","220000000",D35="SIEMENSLTD","83330000")-I35</f>
        <v>274493991.22000003</v>
      </c>
    </row>
    <row r="36" spans="1:29" x14ac:dyDescent="0.25">
      <c r="A36" s="1">
        <v>4</v>
      </c>
      <c r="B36" s="1">
        <f>SUBTOTAL(3,C$3:C36)</f>
        <v>34</v>
      </c>
      <c r="C36" s="6" t="s">
        <v>93</v>
      </c>
      <c r="D36" s="30" t="s">
        <v>27</v>
      </c>
      <c r="E36" s="30" t="s">
        <v>7</v>
      </c>
      <c r="F36" s="54" t="s">
        <v>176</v>
      </c>
      <c r="G36" s="146">
        <v>46131</v>
      </c>
      <c r="H36" s="2" t="s">
        <v>6</v>
      </c>
      <c r="I36" s="89">
        <v>506008.78</v>
      </c>
      <c r="J36" s="149" cm="1">
        <f t="array" ref="J36">_xlfn.IFS(D36="INDUSTOWER","40",D36="RELIANCEIN","44",D36="SIEMENSLTD","120",D36="CLEANMAX","40",D36="AVAADA","40",D36="ARCHTECH","40")+G36</f>
        <v>46171</v>
      </c>
      <c r="K36" s="150">
        <v>46132</v>
      </c>
      <c r="L36" s="149">
        <f t="shared" si="0"/>
        <v>46191</v>
      </c>
      <c r="M36" s="6">
        <v>10039</v>
      </c>
      <c r="N36" s="148">
        <f t="shared" si="1"/>
        <v>46131</v>
      </c>
      <c r="O36" s="148"/>
      <c r="P36" s="223"/>
      <c r="Q36" s="18" t="s">
        <v>29</v>
      </c>
      <c r="R36" s="18">
        <f t="shared" si="2"/>
        <v>455407.90200000006</v>
      </c>
      <c r="S36" s="3">
        <v>7.6999999999999999E-2</v>
      </c>
      <c r="T36" s="145">
        <f t="shared" si="3"/>
        <v>59</v>
      </c>
      <c r="U36" s="4">
        <f t="shared" si="4"/>
        <v>5668</v>
      </c>
      <c r="V36" s="4">
        <f t="shared" si="5"/>
        <v>449739.90200000006</v>
      </c>
      <c r="W36" s="17"/>
      <c r="X36" s="6"/>
      <c r="Y36" s="94"/>
      <c r="Z36" s="94"/>
      <c r="AA36" s="20"/>
      <c r="AB36" s="19"/>
      <c r="AC36" s="165" cm="1">
        <f t="array" ref="AC36">_xlfn.IFS(D36="INDUSTOWER","275000000",D36="RELIANCEIN","220000000",D36="SIEMENSLTD","83330000")-I36</f>
        <v>274493991.22000003</v>
      </c>
    </row>
    <row r="37" spans="1:29" x14ac:dyDescent="0.25">
      <c r="A37" s="1">
        <v>4</v>
      </c>
      <c r="B37" s="1">
        <f>SUBTOTAL(3,C$3:C37)</f>
        <v>35</v>
      </c>
      <c r="C37" s="6" t="s">
        <v>93</v>
      </c>
      <c r="D37" s="30" t="s">
        <v>27</v>
      </c>
      <c r="E37" s="30" t="s">
        <v>7</v>
      </c>
      <c r="F37" s="54" t="s">
        <v>177</v>
      </c>
      <c r="G37" s="146">
        <v>46131</v>
      </c>
      <c r="H37" s="2" t="s">
        <v>6</v>
      </c>
      <c r="I37" s="89">
        <v>506008.78</v>
      </c>
      <c r="J37" s="149" cm="1">
        <f t="array" ref="J37">_xlfn.IFS(D37="INDUSTOWER","40",D37="RELIANCEIN","44",D37="SIEMENSLTD","120",D37="CLEANMAX","40",D37="AVAADA","40",D37="ARCHTECH","40")+G37</f>
        <v>46171</v>
      </c>
      <c r="K37" s="150">
        <v>46132</v>
      </c>
      <c r="L37" s="149">
        <f t="shared" si="0"/>
        <v>46191</v>
      </c>
      <c r="M37" s="6">
        <v>10040</v>
      </c>
      <c r="N37" s="148">
        <f t="shared" si="1"/>
        <v>46131</v>
      </c>
      <c r="O37" s="148"/>
      <c r="P37" s="223"/>
      <c r="Q37" s="18" t="s">
        <v>29</v>
      </c>
      <c r="R37" s="18">
        <f t="shared" si="2"/>
        <v>455407.90200000006</v>
      </c>
      <c r="S37" s="3">
        <v>7.6999999999999999E-2</v>
      </c>
      <c r="T37" s="145">
        <f t="shared" si="3"/>
        <v>59</v>
      </c>
      <c r="U37" s="4">
        <f t="shared" si="4"/>
        <v>5668</v>
      </c>
      <c r="V37" s="4">
        <f t="shared" si="5"/>
        <v>449739.90200000006</v>
      </c>
      <c r="W37" s="17"/>
      <c r="X37" s="6"/>
      <c r="Y37" s="94"/>
      <c r="Z37" s="94"/>
      <c r="AA37" s="20"/>
      <c r="AB37" s="19"/>
      <c r="AC37" s="165" cm="1">
        <f t="array" ref="AC37">_xlfn.IFS(D37="INDUSTOWER","275000000",D37="RELIANCEIN","220000000",D37="SIEMENSLTD","83330000")-I37</f>
        <v>274493991.22000003</v>
      </c>
    </row>
    <row r="38" spans="1:29" x14ac:dyDescent="0.25">
      <c r="A38" s="1">
        <v>4</v>
      </c>
      <c r="B38" s="1">
        <f>SUBTOTAL(3,C$3:C38)</f>
        <v>36</v>
      </c>
      <c r="C38" s="6" t="s">
        <v>93</v>
      </c>
      <c r="D38" s="30" t="s">
        <v>27</v>
      </c>
      <c r="E38" s="30" t="s">
        <v>7</v>
      </c>
      <c r="F38" s="54" t="s">
        <v>178</v>
      </c>
      <c r="G38" s="146">
        <v>46131</v>
      </c>
      <c r="H38" s="2" t="s">
        <v>6</v>
      </c>
      <c r="I38" s="89">
        <v>506008.78</v>
      </c>
      <c r="J38" s="149" cm="1">
        <f t="array" ref="J38">_xlfn.IFS(D38="INDUSTOWER","40",D38="RELIANCEIN","44",D38="SIEMENSLTD","120",D38="CLEANMAX","40",D38="AVAADA","40",D38="ARCHTECH","40")+G38</f>
        <v>46171</v>
      </c>
      <c r="K38" s="150">
        <v>46132</v>
      </c>
      <c r="L38" s="149">
        <f t="shared" si="0"/>
        <v>46191</v>
      </c>
      <c r="M38" s="6">
        <v>10041</v>
      </c>
      <c r="N38" s="148">
        <f t="shared" si="1"/>
        <v>46131</v>
      </c>
      <c r="O38" s="157"/>
      <c r="P38" s="208"/>
      <c r="Q38" s="18" t="s">
        <v>29</v>
      </c>
      <c r="R38" s="18">
        <f t="shared" si="2"/>
        <v>455407.90200000006</v>
      </c>
      <c r="S38" s="3">
        <v>7.6999999999999999E-2</v>
      </c>
      <c r="T38" s="145">
        <f t="shared" si="3"/>
        <v>59</v>
      </c>
      <c r="U38" s="4">
        <f t="shared" si="4"/>
        <v>5668</v>
      </c>
      <c r="V38" s="4">
        <f t="shared" si="5"/>
        <v>449739.90200000006</v>
      </c>
      <c r="W38" s="17"/>
      <c r="X38" s="6"/>
      <c r="Y38" s="94"/>
      <c r="Z38" s="94"/>
      <c r="AA38" s="20"/>
      <c r="AB38" s="19"/>
      <c r="AC38" s="165" cm="1">
        <f t="array" ref="AC38">_xlfn.IFS(D38="INDUSTOWER","275000000",D38="RELIANCEIN","220000000",D38="SIEMENSLTD","83330000")-I38</f>
        <v>274493991.22000003</v>
      </c>
    </row>
    <row r="39" spans="1:29" x14ac:dyDescent="0.25">
      <c r="A39" s="1">
        <v>5</v>
      </c>
      <c r="B39" s="1">
        <f>SUBTOTAL(3,C$3:C39)</f>
        <v>37</v>
      </c>
      <c r="C39" s="6" t="s">
        <v>93</v>
      </c>
      <c r="D39" s="30" t="s">
        <v>27</v>
      </c>
      <c r="E39" s="30" t="s">
        <v>7</v>
      </c>
      <c r="F39" s="54" t="s">
        <v>222</v>
      </c>
      <c r="G39" s="146">
        <v>46132</v>
      </c>
      <c r="H39" s="2" t="s">
        <v>6</v>
      </c>
      <c r="I39" s="89">
        <v>483325.64</v>
      </c>
      <c r="J39" s="149" cm="1">
        <f t="array" ref="J39">_xlfn.IFS(D39="INDUSTOWER","40",D39="RELIANCEIN","44",D39="SIEMENSLTD","120",D39="CLEANMAX","40",D39="AVAADA","40",D39="ARCHTECH","40")+G39</f>
        <v>46172</v>
      </c>
      <c r="K39" s="150">
        <v>46135</v>
      </c>
      <c r="L39" s="149">
        <f t="shared" si="0"/>
        <v>46192</v>
      </c>
      <c r="M39" s="6">
        <v>10043</v>
      </c>
      <c r="N39" s="148">
        <f t="shared" si="1"/>
        <v>46132</v>
      </c>
      <c r="O39" s="157"/>
      <c r="P39" s="208"/>
      <c r="Q39" s="18" t="s">
        <v>29</v>
      </c>
      <c r="R39" s="18">
        <f t="shared" si="2"/>
        <v>434993.076</v>
      </c>
      <c r="S39" s="3">
        <v>7.6999999999999999E-2</v>
      </c>
      <c r="T39" s="145">
        <f t="shared" si="3"/>
        <v>57</v>
      </c>
      <c r="U39" s="4">
        <f t="shared" si="4"/>
        <v>5231</v>
      </c>
      <c r="V39" s="4">
        <f t="shared" si="5"/>
        <v>429762.076</v>
      </c>
      <c r="W39" s="17"/>
      <c r="X39" s="6"/>
      <c r="Y39" s="94"/>
      <c r="Z39" s="94"/>
      <c r="AA39" s="20"/>
      <c r="AB39" s="19"/>
      <c r="AC39" s="165" cm="1">
        <f t="array" ref="AC39">_xlfn.IFS(D39="INDUSTOWER","275000000",D39="RELIANCEIN","220000000",D39="SIEMENSLTD","83330000")-I39</f>
        <v>274516674.36000001</v>
      </c>
    </row>
    <row r="40" spans="1:29" x14ac:dyDescent="0.25">
      <c r="A40" s="1">
        <v>5</v>
      </c>
      <c r="B40" s="1">
        <f>SUBTOTAL(3,C$3:C40)</f>
        <v>38</v>
      </c>
      <c r="C40" s="6" t="s">
        <v>93</v>
      </c>
      <c r="D40" s="30" t="s">
        <v>27</v>
      </c>
      <c r="E40" s="30" t="s">
        <v>7</v>
      </c>
      <c r="F40" s="54" t="s">
        <v>223</v>
      </c>
      <c r="G40" s="146">
        <v>46132</v>
      </c>
      <c r="H40" s="2" t="s">
        <v>6</v>
      </c>
      <c r="I40" s="89">
        <v>483325.64</v>
      </c>
      <c r="J40" s="149" cm="1">
        <f t="array" ref="J40">_xlfn.IFS(D40="INDUSTOWER","40",D40="RELIANCEIN","44",D40="SIEMENSLTD","120",D40="CLEANMAX","40",D40="AVAADA","40",D40="ARCHTECH","40")+G40</f>
        <v>46172</v>
      </c>
      <c r="K40" s="150">
        <v>46135</v>
      </c>
      <c r="L40" s="149">
        <f t="shared" si="0"/>
        <v>46192</v>
      </c>
      <c r="M40" s="6">
        <v>10044</v>
      </c>
      <c r="N40" s="148">
        <f t="shared" si="1"/>
        <v>46132</v>
      </c>
      <c r="O40" s="157"/>
      <c r="P40" s="208"/>
      <c r="Q40" s="18" t="s">
        <v>29</v>
      </c>
      <c r="R40" s="18">
        <f t="shared" si="2"/>
        <v>434993.076</v>
      </c>
      <c r="S40" s="3">
        <v>7.6999999999999999E-2</v>
      </c>
      <c r="T40" s="145">
        <f t="shared" si="3"/>
        <v>57</v>
      </c>
      <c r="U40" s="4">
        <f t="shared" si="4"/>
        <v>5231</v>
      </c>
      <c r="V40" s="4">
        <f t="shared" si="5"/>
        <v>429762.076</v>
      </c>
      <c r="W40" s="17"/>
      <c r="X40" s="6"/>
      <c r="Y40" s="94"/>
      <c r="Z40" s="94"/>
      <c r="AA40" s="20"/>
      <c r="AB40" s="19"/>
      <c r="AC40" s="165" cm="1">
        <f t="array" ref="AC40">_xlfn.IFS(D40="INDUSTOWER","275000000",D40="RELIANCEIN","220000000",D40="SIEMENSLTD","83330000")-I40</f>
        <v>274516674.36000001</v>
      </c>
    </row>
    <row r="41" spans="1:29" x14ac:dyDescent="0.25">
      <c r="A41" s="1">
        <v>5</v>
      </c>
      <c r="B41" s="1">
        <f>SUBTOTAL(3,C$3:C41)</f>
        <v>39</v>
      </c>
      <c r="C41" s="6" t="s">
        <v>93</v>
      </c>
      <c r="D41" s="30" t="s">
        <v>27</v>
      </c>
      <c r="E41" s="30" t="s">
        <v>7</v>
      </c>
      <c r="F41" s="54" t="s">
        <v>224</v>
      </c>
      <c r="G41" s="146">
        <v>46132</v>
      </c>
      <c r="H41" s="2" t="s">
        <v>6</v>
      </c>
      <c r="I41" s="89">
        <v>483325.64</v>
      </c>
      <c r="J41" s="149" cm="1">
        <f t="array" ref="J41">_xlfn.IFS(D41="INDUSTOWER","40",D41="RELIANCEIN","44",D41="SIEMENSLTD","120",D41="CLEANMAX","40",D41="AVAADA","40",D41="ARCHTECH","40")+G41</f>
        <v>46172</v>
      </c>
      <c r="K41" s="150">
        <v>46135</v>
      </c>
      <c r="L41" s="149">
        <f t="shared" si="0"/>
        <v>46192</v>
      </c>
      <c r="M41" s="6">
        <v>10045</v>
      </c>
      <c r="N41" s="148">
        <f t="shared" si="1"/>
        <v>46132</v>
      </c>
      <c r="O41" s="157"/>
      <c r="P41" s="208"/>
      <c r="Q41" s="18" t="s">
        <v>29</v>
      </c>
      <c r="R41" s="18">
        <f t="shared" si="2"/>
        <v>434993.076</v>
      </c>
      <c r="S41" s="3">
        <v>7.6999999999999999E-2</v>
      </c>
      <c r="T41" s="145">
        <f t="shared" si="3"/>
        <v>57</v>
      </c>
      <c r="U41" s="4">
        <f t="shared" si="4"/>
        <v>5231</v>
      </c>
      <c r="V41" s="4">
        <f t="shared" si="5"/>
        <v>429762.076</v>
      </c>
      <c r="W41" s="17"/>
      <c r="X41" s="6"/>
      <c r="Y41" s="94"/>
      <c r="Z41" s="94"/>
      <c r="AA41" s="20"/>
      <c r="AB41" s="19"/>
      <c r="AC41" s="165" cm="1">
        <f t="array" ref="AC41">_xlfn.IFS(D41="INDUSTOWER","275000000",D41="RELIANCEIN","220000000",D41="SIEMENSLTD","83330000")-I41</f>
        <v>274516674.36000001</v>
      </c>
    </row>
    <row r="42" spans="1:29" x14ac:dyDescent="0.25">
      <c r="A42" s="1">
        <v>5</v>
      </c>
      <c r="B42" s="1">
        <f>SUBTOTAL(3,C$3:C42)</f>
        <v>40</v>
      </c>
      <c r="C42" s="6" t="s">
        <v>93</v>
      </c>
      <c r="D42" s="30" t="s">
        <v>27</v>
      </c>
      <c r="E42" s="30" t="s">
        <v>7</v>
      </c>
      <c r="F42" s="54" t="s">
        <v>225</v>
      </c>
      <c r="G42" s="146">
        <v>46132</v>
      </c>
      <c r="H42" s="2" t="s">
        <v>6</v>
      </c>
      <c r="I42" s="89">
        <v>483325.64</v>
      </c>
      <c r="J42" s="149" cm="1">
        <f t="array" ref="J42">_xlfn.IFS(D42="INDUSTOWER","40",D42="RELIANCEIN","44",D42="SIEMENSLTD","120",D42="CLEANMAX","40",D42="AVAADA","40",D42="ARCHTECH","40")+G42</f>
        <v>46172</v>
      </c>
      <c r="K42" s="150">
        <v>46135</v>
      </c>
      <c r="L42" s="149">
        <f t="shared" si="0"/>
        <v>46192</v>
      </c>
      <c r="M42" s="6">
        <v>10046</v>
      </c>
      <c r="N42" s="148">
        <f t="shared" si="1"/>
        <v>46132</v>
      </c>
      <c r="O42" s="157"/>
      <c r="P42" s="208"/>
      <c r="Q42" s="18" t="s">
        <v>29</v>
      </c>
      <c r="R42" s="18">
        <f t="shared" si="2"/>
        <v>434993.076</v>
      </c>
      <c r="S42" s="3">
        <v>7.6999999999999999E-2</v>
      </c>
      <c r="T42" s="145">
        <f t="shared" si="3"/>
        <v>57</v>
      </c>
      <c r="U42" s="4">
        <f t="shared" si="4"/>
        <v>5231</v>
      </c>
      <c r="V42" s="4">
        <f t="shared" si="5"/>
        <v>429762.076</v>
      </c>
      <c r="W42" s="17"/>
      <c r="X42" s="6"/>
      <c r="Y42" s="94"/>
      <c r="Z42" s="94"/>
      <c r="AA42" s="20"/>
      <c r="AB42" s="19"/>
      <c r="AC42" s="165" cm="1">
        <f t="array" ref="AC42">_xlfn.IFS(D42="INDUSTOWER","275000000",D42="RELIANCEIN","220000000",D42="SIEMENSLTD","83330000")-I42</f>
        <v>274516674.36000001</v>
      </c>
    </row>
    <row r="43" spans="1:29" x14ac:dyDescent="0.25">
      <c r="A43" s="1">
        <v>5</v>
      </c>
      <c r="B43" s="1">
        <f>SUBTOTAL(3,C$3:C43)</f>
        <v>41</v>
      </c>
      <c r="C43" s="6" t="s">
        <v>93</v>
      </c>
      <c r="D43" s="30" t="s">
        <v>27</v>
      </c>
      <c r="E43" s="30" t="s">
        <v>7</v>
      </c>
      <c r="F43" s="54" t="s">
        <v>226</v>
      </c>
      <c r="G43" s="146">
        <v>46132</v>
      </c>
      <c r="H43" s="2" t="s">
        <v>6</v>
      </c>
      <c r="I43" s="89">
        <v>483325.64</v>
      </c>
      <c r="J43" s="149" cm="1">
        <f t="array" ref="J43">_xlfn.IFS(D43="INDUSTOWER","40",D43="RELIANCEIN","44",D43="SIEMENSLTD","120",D43="CLEANMAX","40",D43="AVAADA","40",D43="ARCHTECH","40")+G43</f>
        <v>46172</v>
      </c>
      <c r="K43" s="150">
        <v>46135</v>
      </c>
      <c r="L43" s="149">
        <f t="shared" si="0"/>
        <v>46192</v>
      </c>
      <c r="M43" s="6">
        <v>801</v>
      </c>
      <c r="N43" s="148">
        <f t="shared" si="1"/>
        <v>46132</v>
      </c>
      <c r="O43" s="157"/>
      <c r="P43" s="208"/>
      <c r="Q43" s="18" t="s">
        <v>29</v>
      </c>
      <c r="R43" s="18">
        <f t="shared" si="2"/>
        <v>434993.076</v>
      </c>
      <c r="S43" s="3">
        <v>7.6999999999999999E-2</v>
      </c>
      <c r="T43" s="145">
        <f t="shared" si="3"/>
        <v>57</v>
      </c>
      <c r="U43" s="4">
        <f t="shared" si="4"/>
        <v>5231</v>
      </c>
      <c r="V43" s="4">
        <f t="shared" si="5"/>
        <v>429762.076</v>
      </c>
      <c r="W43" s="17"/>
      <c r="X43" s="6"/>
      <c r="Y43" s="94"/>
      <c r="Z43" s="94"/>
      <c r="AA43" s="20"/>
      <c r="AB43" s="19"/>
      <c r="AC43" s="165" cm="1">
        <f t="array" ref="AC43">_xlfn.IFS(D43="INDUSTOWER","275000000",D43="RELIANCEIN","220000000",D43="SIEMENSLTD","83330000")-I43</f>
        <v>274516674.36000001</v>
      </c>
    </row>
    <row r="44" spans="1:29" x14ac:dyDescent="0.25">
      <c r="A44" s="1">
        <v>5</v>
      </c>
      <c r="B44" s="1">
        <f>SUBTOTAL(3,C$3:C44)</f>
        <v>42</v>
      </c>
      <c r="C44" s="6" t="s">
        <v>93</v>
      </c>
      <c r="D44" s="30" t="s">
        <v>27</v>
      </c>
      <c r="E44" s="30" t="s">
        <v>7</v>
      </c>
      <c r="F44" s="54" t="s">
        <v>227</v>
      </c>
      <c r="G44" s="146">
        <v>46132</v>
      </c>
      <c r="H44" s="2" t="s">
        <v>6</v>
      </c>
      <c r="I44" s="89">
        <v>1006923.5</v>
      </c>
      <c r="J44" s="149" cm="1">
        <f t="array" ref="J44">_xlfn.IFS(D44="INDUSTOWER","40",D44="RELIANCEIN","44",D44="SIEMENSLTD","120",D44="CLEANMAX","40",D44="AVAADA","40",D44="ARCHTECH","40")+G44</f>
        <v>46172</v>
      </c>
      <c r="K44" s="150">
        <v>46135</v>
      </c>
      <c r="L44" s="149">
        <f t="shared" si="0"/>
        <v>46192</v>
      </c>
      <c r="M44" s="6">
        <v>78158</v>
      </c>
      <c r="N44" s="148">
        <f t="shared" si="1"/>
        <v>46132</v>
      </c>
      <c r="O44" s="157"/>
      <c r="P44" s="208"/>
      <c r="Q44" s="18" t="s">
        <v>30</v>
      </c>
      <c r="R44" s="18">
        <f t="shared" si="2"/>
        <v>906231.15</v>
      </c>
      <c r="S44" s="3">
        <v>7.6999999999999999E-2</v>
      </c>
      <c r="T44" s="145">
        <f t="shared" si="3"/>
        <v>57</v>
      </c>
      <c r="U44" s="4">
        <f t="shared" si="4"/>
        <v>10897</v>
      </c>
      <c r="V44" s="4">
        <f t="shared" si="5"/>
        <v>895334.15</v>
      </c>
      <c r="W44" s="17"/>
      <c r="X44" s="6"/>
      <c r="Y44" s="94"/>
      <c r="Z44" s="94"/>
      <c r="AA44" s="20"/>
      <c r="AB44" s="19"/>
      <c r="AC44" s="165" cm="1">
        <f t="array" ref="AC44">_xlfn.IFS(D44="INDUSTOWER","275000000",D44="RELIANCEIN","220000000",D44="SIEMENSLTD","83330000")-I44</f>
        <v>273993076.5</v>
      </c>
    </row>
    <row r="45" spans="1:29" x14ac:dyDescent="0.25">
      <c r="A45" s="1">
        <v>5</v>
      </c>
      <c r="B45" s="1">
        <f>SUBTOTAL(3,C$3:C45)</f>
        <v>43</v>
      </c>
      <c r="C45" s="6" t="s">
        <v>93</v>
      </c>
      <c r="D45" s="30" t="s">
        <v>27</v>
      </c>
      <c r="E45" s="30" t="s">
        <v>7</v>
      </c>
      <c r="F45" s="54" t="s">
        <v>228</v>
      </c>
      <c r="G45" s="146">
        <v>46132</v>
      </c>
      <c r="H45" s="2" t="s">
        <v>6</v>
      </c>
      <c r="I45" s="89">
        <v>671243</v>
      </c>
      <c r="J45" s="149" cm="1">
        <f t="array" ref="J45">_xlfn.IFS(D45="INDUSTOWER","40",D45="RELIANCEIN","44",D45="SIEMENSLTD","120",D45="CLEANMAX","40",D45="AVAADA","40",D45="ARCHTECH","40")+G45</f>
        <v>46172</v>
      </c>
      <c r="K45" s="150">
        <v>46135</v>
      </c>
      <c r="L45" s="149">
        <f t="shared" si="0"/>
        <v>46192</v>
      </c>
      <c r="M45" s="6">
        <v>10047</v>
      </c>
      <c r="N45" s="148">
        <f t="shared" si="1"/>
        <v>46132</v>
      </c>
      <c r="O45" s="157"/>
      <c r="P45" s="208"/>
      <c r="Q45" s="18" t="s">
        <v>53</v>
      </c>
      <c r="R45" s="18">
        <f t="shared" si="2"/>
        <v>604118.70000000007</v>
      </c>
      <c r="S45" s="3">
        <v>7.6999999999999999E-2</v>
      </c>
      <c r="T45" s="145">
        <f t="shared" si="3"/>
        <v>57</v>
      </c>
      <c r="U45" s="4">
        <f t="shared" si="4"/>
        <v>7264</v>
      </c>
      <c r="V45" s="4">
        <f t="shared" si="5"/>
        <v>596854.70000000007</v>
      </c>
      <c r="W45" s="17"/>
      <c r="X45" s="6"/>
      <c r="Y45" s="94"/>
      <c r="Z45" s="94"/>
      <c r="AA45" s="20"/>
      <c r="AB45" s="19"/>
      <c r="AC45" s="165" cm="1">
        <f t="array" ref="AC45">_xlfn.IFS(D45="INDUSTOWER","275000000",D45="RELIANCEIN","220000000",D45="SIEMENSLTD","83330000")-I45</f>
        <v>274328757</v>
      </c>
    </row>
    <row r="46" spans="1:29" x14ac:dyDescent="0.25">
      <c r="A46" s="1">
        <v>5</v>
      </c>
      <c r="B46" s="1">
        <f>SUBTOTAL(3,C$3:C46)</f>
        <v>44</v>
      </c>
      <c r="C46" s="6" t="s">
        <v>93</v>
      </c>
      <c r="D46" s="30" t="s">
        <v>27</v>
      </c>
      <c r="E46" s="30" t="s">
        <v>7</v>
      </c>
      <c r="F46" s="54" t="s">
        <v>229</v>
      </c>
      <c r="G46" s="146">
        <v>46133</v>
      </c>
      <c r="H46" s="2" t="s">
        <v>6</v>
      </c>
      <c r="I46" s="89">
        <v>481668.92</v>
      </c>
      <c r="J46" s="149" cm="1">
        <f t="array" ref="J46">_xlfn.IFS(D46="INDUSTOWER","40",D46="RELIANCEIN","44",D46="SIEMENSLTD","120",D46="CLEANMAX","40",D46="AVAADA","40",D46="ARCHTECH","40")+G46</f>
        <v>46173</v>
      </c>
      <c r="K46" s="150">
        <v>46135</v>
      </c>
      <c r="L46" s="149">
        <f t="shared" si="0"/>
        <v>46193</v>
      </c>
      <c r="M46" s="6">
        <v>10049</v>
      </c>
      <c r="N46" s="148">
        <f t="shared" si="1"/>
        <v>46133</v>
      </c>
      <c r="O46" s="157"/>
      <c r="P46" s="208"/>
      <c r="Q46" s="18" t="s">
        <v>36</v>
      </c>
      <c r="R46" s="18">
        <f t="shared" si="2"/>
        <v>433502.02799999999</v>
      </c>
      <c r="S46" s="3">
        <v>7.6999999999999999E-2</v>
      </c>
      <c r="T46" s="145">
        <f t="shared" si="3"/>
        <v>58</v>
      </c>
      <c r="U46" s="4">
        <f t="shared" si="4"/>
        <v>5304</v>
      </c>
      <c r="V46" s="4">
        <f t="shared" si="5"/>
        <v>428198.02799999999</v>
      </c>
      <c r="W46" s="17"/>
      <c r="X46" s="6"/>
      <c r="Y46" s="94"/>
      <c r="Z46" s="94"/>
      <c r="AA46" s="20"/>
      <c r="AB46" s="19"/>
      <c r="AC46" s="165" cm="1">
        <f t="array" ref="AC46">_xlfn.IFS(D46="INDUSTOWER","275000000",D46="RELIANCEIN","220000000",D46="SIEMENSLTD","83330000")-I46</f>
        <v>274518331.07999998</v>
      </c>
    </row>
    <row r="47" spans="1:29" x14ac:dyDescent="0.25">
      <c r="A47" s="1">
        <v>5</v>
      </c>
      <c r="B47" s="1">
        <f>SUBTOTAL(3,C$3:C47)</f>
        <v>45</v>
      </c>
      <c r="C47" s="6" t="s">
        <v>93</v>
      </c>
      <c r="D47" s="30" t="s">
        <v>27</v>
      </c>
      <c r="E47" s="30" t="s">
        <v>7</v>
      </c>
      <c r="F47" s="54" t="s">
        <v>230</v>
      </c>
      <c r="G47" s="146">
        <v>46133</v>
      </c>
      <c r="H47" s="2" t="s">
        <v>6</v>
      </c>
      <c r="I47" s="89">
        <v>506008.78</v>
      </c>
      <c r="J47" s="149" cm="1">
        <f t="array" ref="J47">_xlfn.IFS(D47="INDUSTOWER","40",D47="RELIANCEIN","44",D47="SIEMENSLTD","120",D47="CLEANMAX","40",D47="AVAADA","40",D47="ARCHTECH","40")+G47</f>
        <v>46173</v>
      </c>
      <c r="K47" s="150">
        <v>46135</v>
      </c>
      <c r="L47" s="149">
        <f t="shared" si="0"/>
        <v>46193</v>
      </c>
      <c r="M47" s="6">
        <v>10050</v>
      </c>
      <c r="N47" s="148">
        <f t="shared" si="1"/>
        <v>46133</v>
      </c>
      <c r="O47" s="157"/>
      <c r="P47" s="208"/>
      <c r="Q47" s="18" t="s">
        <v>29</v>
      </c>
      <c r="R47" s="18">
        <f t="shared" si="2"/>
        <v>455407.90200000006</v>
      </c>
      <c r="S47" s="3">
        <v>7.6999999999999999E-2</v>
      </c>
      <c r="T47" s="145">
        <f t="shared" si="3"/>
        <v>58</v>
      </c>
      <c r="U47" s="4">
        <f t="shared" si="4"/>
        <v>5572</v>
      </c>
      <c r="V47" s="4">
        <f t="shared" si="5"/>
        <v>449835.90200000006</v>
      </c>
      <c r="W47" s="17"/>
      <c r="X47" s="6"/>
      <c r="Y47" s="94"/>
      <c r="Z47" s="94"/>
      <c r="AA47" s="20"/>
      <c r="AB47" s="19"/>
      <c r="AC47" s="165" cm="1">
        <f t="array" ref="AC47">_xlfn.IFS(D47="INDUSTOWER","275000000",D47="RELIANCEIN","220000000",D47="SIEMENSLTD","83330000")-I47</f>
        <v>274493991.22000003</v>
      </c>
    </row>
    <row r="48" spans="1:29" x14ac:dyDescent="0.25">
      <c r="A48" s="1">
        <v>5</v>
      </c>
      <c r="B48" s="1">
        <f>SUBTOTAL(3,C$3:C48)</f>
        <v>46</v>
      </c>
      <c r="C48" s="6" t="s">
        <v>93</v>
      </c>
      <c r="D48" s="30" t="s">
        <v>27</v>
      </c>
      <c r="E48" s="30" t="s">
        <v>7</v>
      </c>
      <c r="F48" s="54" t="s">
        <v>231</v>
      </c>
      <c r="G48" s="146">
        <v>46133</v>
      </c>
      <c r="H48" s="2" t="s">
        <v>6</v>
      </c>
      <c r="I48" s="89">
        <v>506008.78</v>
      </c>
      <c r="J48" s="149" cm="1">
        <f t="array" ref="J48">_xlfn.IFS(D48="INDUSTOWER","40",D48="RELIANCEIN","44",D48="SIEMENSLTD","120",D48="CLEANMAX","40",D48="AVAADA","40",D48="ARCHTECH","40")+G48</f>
        <v>46173</v>
      </c>
      <c r="K48" s="150">
        <v>46135</v>
      </c>
      <c r="L48" s="149">
        <f t="shared" si="0"/>
        <v>46193</v>
      </c>
      <c r="M48" s="6">
        <v>78519</v>
      </c>
      <c r="N48" s="148">
        <f t="shared" si="1"/>
        <v>46133</v>
      </c>
      <c r="O48" s="157"/>
      <c r="P48" s="208"/>
      <c r="Q48" s="18" t="s">
        <v>29</v>
      </c>
      <c r="R48" s="18">
        <f t="shared" si="2"/>
        <v>455407.90200000006</v>
      </c>
      <c r="S48" s="3">
        <v>7.6999999999999999E-2</v>
      </c>
      <c r="T48" s="145">
        <f t="shared" si="3"/>
        <v>58</v>
      </c>
      <c r="U48" s="4">
        <f t="shared" si="4"/>
        <v>5572</v>
      </c>
      <c r="V48" s="4">
        <f t="shared" si="5"/>
        <v>449835.90200000006</v>
      </c>
      <c r="W48" s="17"/>
      <c r="X48" s="6"/>
      <c r="Y48" s="94"/>
      <c r="Z48" s="94"/>
      <c r="AA48" s="20"/>
      <c r="AB48" s="19"/>
      <c r="AC48" s="165" cm="1">
        <f t="array" ref="AC48">_xlfn.IFS(D48="INDUSTOWER","275000000",D48="RELIANCEIN","220000000",D48="SIEMENSLTD","83330000")-I48</f>
        <v>274493991.22000003</v>
      </c>
    </row>
    <row r="49" spans="1:29" x14ac:dyDescent="0.25">
      <c r="A49" s="1">
        <v>5</v>
      </c>
      <c r="B49" s="1">
        <f>SUBTOTAL(3,C$3:C49)</f>
        <v>47</v>
      </c>
      <c r="C49" s="6" t="s">
        <v>93</v>
      </c>
      <c r="D49" s="30" t="s">
        <v>27</v>
      </c>
      <c r="E49" s="30" t="s">
        <v>7</v>
      </c>
      <c r="F49" s="54" t="s">
        <v>232</v>
      </c>
      <c r="G49" s="146">
        <v>46133</v>
      </c>
      <c r="H49" s="2" t="s">
        <v>6</v>
      </c>
      <c r="I49" s="89">
        <v>506008.78</v>
      </c>
      <c r="J49" s="149" cm="1">
        <f t="array" ref="J49">_xlfn.IFS(D49="INDUSTOWER","40",D49="RELIANCEIN","44",D49="SIEMENSLTD","120",D49="CLEANMAX","40",D49="AVAADA","40",D49="ARCHTECH","40")+G49</f>
        <v>46173</v>
      </c>
      <c r="K49" s="150">
        <v>46135</v>
      </c>
      <c r="L49" s="149">
        <f t="shared" si="0"/>
        <v>46193</v>
      </c>
      <c r="M49" s="6">
        <v>78520</v>
      </c>
      <c r="N49" s="148">
        <f t="shared" si="1"/>
        <v>46133</v>
      </c>
      <c r="O49" s="157"/>
      <c r="P49" s="208"/>
      <c r="Q49" s="18" t="s">
        <v>29</v>
      </c>
      <c r="R49" s="18">
        <f t="shared" si="2"/>
        <v>455407.90200000006</v>
      </c>
      <c r="S49" s="3">
        <v>7.6999999999999999E-2</v>
      </c>
      <c r="T49" s="145">
        <f t="shared" si="3"/>
        <v>58</v>
      </c>
      <c r="U49" s="4">
        <f t="shared" si="4"/>
        <v>5572</v>
      </c>
      <c r="V49" s="4">
        <f t="shared" si="5"/>
        <v>449835.90200000006</v>
      </c>
      <c r="W49" s="17"/>
      <c r="X49" s="6"/>
      <c r="Y49" s="94"/>
      <c r="Z49" s="94"/>
      <c r="AA49" s="20"/>
      <c r="AB49" s="19"/>
      <c r="AC49" s="165" cm="1">
        <f t="array" ref="AC49">_xlfn.IFS(D49="INDUSTOWER","275000000",D49="RELIANCEIN","220000000",D49="SIEMENSLTD","83330000")-I49</f>
        <v>274493991.22000003</v>
      </c>
    </row>
    <row r="50" spans="1:29" x14ac:dyDescent="0.25">
      <c r="A50" s="1">
        <v>5</v>
      </c>
      <c r="B50" s="1">
        <f>SUBTOTAL(3,C$3:C50)</f>
        <v>48</v>
      </c>
      <c r="C50" s="6" t="s">
        <v>93</v>
      </c>
      <c r="D50" s="30" t="s">
        <v>27</v>
      </c>
      <c r="E50" s="30" t="s">
        <v>7</v>
      </c>
      <c r="F50" s="54" t="s">
        <v>233</v>
      </c>
      <c r="G50" s="146">
        <v>46133</v>
      </c>
      <c r="H50" s="2" t="s">
        <v>6</v>
      </c>
      <c r="I50" s="89">
        <v>506008.78</v>
      </c>
      <c r="J50" s="149" cm="1">
        <f t="array" ref="J50">_xlfn.IFS(D50="INDUSTOWER","40",D50="RELIANCEIN","44",D50="SIEMENSLTD","120",D50="CLEANMAX","40",D50="AVAADA","40",D50="ARCHTECH","40")+G50</f>
        <v>46173</v>
      </c>
      <c r="K50" s="150">
        <v>46135</v>
      </c>
      <c r="L50" s="149">
        <f t="shared" si="0"/>
        <v>46193</v>
      </c>
      <c r="M50" s="6">
        <v>78521</v>
      </c>
      <c r="N50" s="148">
        <f t="shared" si="1"/>
        <v>46133</v>
      </c>
      <c r="O50" s="157"/>
      <c r="P50" s="208"/>
      <c r="Q50" s="18" t="s">
        <v>29</v>
      </c>
      <c r="R50" s="18">
        <f t="shared" si="2"/>
        <v>455407.90200000006</v>
      </c>
      <c r="S50" s="3">
        <v>7.6999999999999999E-2</v>
      </c>
      <c r="T50" s="145">
        <f t="shared" si="3"/>
        <v>58</v>
      </c>
      <c r="U50" s="4">
        <f t="shared" si="4"/>
        <v>5572</v>
      </c>
      <c r="V50" s="4">
        <f t="shared" si="5"/>
        <v>449835.90200000006</v>
      </c>
      <c r="W50" s="17"/>
      <c r="X50" s="6"/>
      <c r="Y50" s="94"/>
      <c r="Z50" s="94"/>
      <c r="AA50" s="20"/>
      <c r="AB50" s="19"/>
      <c r="AC50" s="165" cm="1">
        <f t="array" ref="AC50">_xlfn.IFS(D50="INDUSTOWER","275000000",D50="RELIANCEIN","220000000",D50="SIEMENSLTD","83330000")-I50</f>
        <v>274493991.22000003</v>
      </c>
    </row>
    <row r="51" spans="1:29" x14ac:dyDescent="0.25">
      <c r="A51" s="1">
        <v>5</v>
      </c>
      <c r="B51" s="1">
        <f>SUBTOTAL(3,C$3:C51)</f>
        <v>49</v>
      </c>
      <c r="C51" s="6" t="s">
        <v>93</v>
      </c>
      <c r="D51" s="30" t="s">
        <v>27</v>
      </c>
      <c r="E51" s="30" t="s">
        <v>7</v>
      </c>
      <c r="F51" s="54" t="s">
        <v>234</v>
      </c>
      <c r="G51" s="146">
        <v>46133</v>
      </c>
      <c r="H51" s="2" t="s">
        <v>6</v>
      </c>
      <c r="I51" s="89">
        <v>506008.78</v>
      </c>
      <c r="J51" s="149" cm="1">
        <f t="array" ref="J51">_xlfn.IFS(D51="INDUSTOWER","40",D51="RELIANCEIN","44",D51="SIEMENSLTD","120",D51="CLEANMAX","40",D51="AVAADA","40",D51="ARCHTECH","40")+G51</f>
        <v>46173</v>
      </c>
      <c r="K51" s="150">
        <v>46135</v>
      </c>
      <c r="L51" s="149">
        <f t="shared" si="0"/>
        <v>46193</v>
      </c>
      <c r="M51" s="6">
        <v>10051</v>
      </c>
      <c r="N51" s="148">
        <f t="shared" si="1"/>
        <v>46133</v>
      </c>
      <c r="O51" s="157"/>
      <c r="P51" s="208"/>
      <c r="Q51" s="18" t="s">
        <v>29</v>
      </c>
      <c r="R51" s="18">
        <f t="shared" si="2"/>
        <v>455407.90200000006</v>
      </c>
      <c r="S51" s="3">
        <v>7.6999999999999999E-2</v>
      </c>
      <c r="T51" s="145">
        <f t="shared" si="3"/>
        <v>58</v>
      </c>
      <c r="U51" s="4">
        <f t="shared" si="4"/>
        <v>5572</v>
      </c>
      <c r="V51" s="4">
        <f t="shared" si="5"/>
        <v>449835.90200000006</v>
      </c>
      <c r="W51" s="17"/>
      <c r="X51" s="6"/>
      <c r="Y51" s="94"/>
      <c r="Z51" s="94"/>
      <c r="AA51" s="20"/>
      <c r="AB51" s="19"/>
      <c r="AC51" s="165" cm="1">
        <f t="array" ref="AC51">_xlfn.IFS(D51="INDUSTOWER","275000000",D51="RELIANCEIN","220000000",D51="SIEMENSLTD","83330000")-I51</f>
        <v>274493991.22000003</v>
      </c>
    </row>
    <row r="52" spans="1:29" x14ac:dyDescent="0.25">
      <c r="A52" s="1">
        <v>5</v>
      </c>
      <c r="B52" s="1">
        <f>SUBTOTAL(3,C$3:C52)</f>
        <v>50</v>
      </c>
      <c r="C52" s="6" t="s">
        <v>93</v>
      </c>
      <c r="D52" s="30" t="s">
        <v>27</v>
      </c>
      <c r="E52" s="30" t="s">
        <v>7</v>
      </c>
      <c r="F52" s="54" t="s">
        <v>235</v>
      </c>
      <c r="G52" s="146">
        <v>46133</v>
      </c>
      <c r="H52" s="2" t="s">
        <v>6</v>
      </c>
      <c r="I52" s="89">
        <v>506008.78</v>
      </c>
      <c r="J52" s="149" cm="1">
        <f t="array" ref="J52">_xlfn.IFS(D52="INDUSTOWER","40",D52="RELIANCEIN","44",D52="SIEMENSLTD","120",D52="CLEANMAX","40",D52="AVAADA","40",D52="ARCHTECH","40")+G52</f>
        <v>46173</v>
      </c>
      <c r="K52" s="150">
        <v>46135</v>
      </c>
      <c r="L52" s="149">
        <f t="shared" si="0"/>
        <v>46193</v>
      </c>
      <c r="M52" s="6">
        <v>78522</v>
      </c>
      <c r="N52" s="148">
        <f t="shared" si="1"/>
        <v>46133</v>
      </c>
      <c r="O52" s="157"/>
      <c r="P52" s="208"/>
      <c r="Q52" s="18" t="s">
        <v>29</v>
      </c>
      <c r="R52" s="18">
        <f t="shared" si="2"/>
        <v>455407.90200000006</v>
      </c>
      <c r="S52" s="3">
        <v>7.6999999999999999E-2</v>
      </c>
      <c r="T52" s="145">
        <f t="shared" si="3"/>
        <v>58</v>
      </c>
      <c r="U52" s="4">
        <f t="shared" si="4"/>
        <v>5572</v>
      </c>
      <c r="V52" s="4">
        <f t="shared" si="5"/>
        <v>449835.90200000006</v>
      </c>
      <c r="W52" s="17"/>
      <c r="X52" s="6"/>
      <c r="Y52" s="94"/>
      <c r="Z52" s="94"/>
      <c r="AA52" s="20"/>
      <c r="AB52" s="19"/>
      <c r="AC52" s="165" cm="1">
        <f t="array" ref="AC52">_xlfn.IFS(D52="INDUSTOWER","275000000",D52="RELIANCEIN","220000000",D52="SIEMENSLTD","83330000")-I52</f>
        <v>274493991.22000003</v>
      </c>
    </row>
    <row r="53" spans="1:29" x14ac:dyDescent="0.25">
      <c r="A53" s="1">
        <v>6</v>
      </c>
      <c r="B53" s="1">
        <f>SUBTOTAL(3,C$3:C53)</f>
        <v>51</v>
      </c>
      <c r="C53" s="6" t="s">
        <v>93</v>
      </c>
      <c r="D53" s="30" t="s">
        <v>27</v>
      </c>
      <c r="E53" s="30" t="s">
        <v>7</v>
      </c>
      <c r="F53" s="54" t="s">
        <v>236</v>
      </c>
      <c r="G53" s="146">
        <v>46134</v>
      </c>
      <c r="H53" s="2" t="s">
        <v>6</v>
      </c>
      <c r="I53" s="89">
        <v>873873.78</v>
      </c>
      <c r="J53" s="149" cm="1">
        <f t="array" ref="J53">_xlfn.IFS(D53="INDUSTOWER","40",D53="RELIANCEIN","44",D53="SIEMENSLTD","120",D53="CLEANMAX","40",D53="AVAADA","40",D53="ARCHTECH","40")+G53</f>
        <v>46174</v>
      </c>
      <c r="K53" s="150">
        <v>46135</v>
      </c>
      <c r="L53" s="149">
        <f t="shared" si="0"/>
        <v>46194</v>
      </c>
      <c r="M53" s="6">
        <v>25333</v>
      </c>
      <c r="N53" s="148">
        <f t="shared" si="1"/>
        <v>46134</v>
      </c>
      <c r="O53" s="157"/>
      <c r="P53" s="208"/>
      <c r="Q53" s="18" t="s">
        <v>117</v>
      </c>
      <c r="R53" s="18">
        <f t="shared" si="2"/>
        <v>786486.402</v>
      </c>
      <c r="S53" s="3">
        <v>7.6999999999999999E-2</v>
      </c>
      <c r="T53" s="145">
        <f t="shared" si="3"/>
        <v>59</v>
      </c>
      <c r="U53" s="4">
        <f t="shared" si="4"/>
        <v>9789</v>
      </c>
      <c r="V53" s="4">
        <f t="shared" si="5"/>
        <v>776697.402</v>
      </c>
      <c r="W53" s="17"/>
      <c r="X53" s="6"/>
      <c r="Y53" s="94"/>
      <c r="Z53" s="94"/>
      <c r="AA53" s="20"/>
      <c r="AB53" s="19"/>
      <c r="AC53" s="165" cm="1">
        <f t="array" ref="AC53">_xlfn.IFS(D53="INDUSTOWER","275000000",D53="RELIANCEIN","220000000",D53="SIEMENSLTD","83330000")-I53</f>
        <v>274126126.22000003</v>
      </c>
    </row>
    <row r="54" spans="1:29" x14ac:dyDescent="0.25">
      <c r="A54" s="1">
        <v>6</v>
      </c>
      <c r="B54" s="1">
        <f>SUBTOTAL(3,C$3:C54)</f>
        <v>52</v>
      </c>
      <c r="C54" s="6" t="s">
        <v>93</v>
      </c>
      <c r="D54" s="30" t="s">
        <v>27</v>
      </c>
      <c r="E54" s="30" t="s">
        <v>7</v>
      </c>
      <c r="F54" s="54" t="s">
        <v>237</v>
      </c>
      <c r="G54" s="146">
        <v>46134</v>
      </c>
      <c r="H54" s="2" t="s">
        <v>6</v>
      </c>
      <c r="I54" s="89">
        <v>483325.64</v>
      </c>
      <c r="J54" s="149" cm="1">
        <f t="array" ref="J54">_xlfn.IFS(D54="INDUSTOWER","40",D54="RELIANCEIN","44",D54="SIEMENSLTD","120",D54="CLEANMAX","40",D54="AVAADA","40",D54="ARCHTECH","40")+G54</f>
        <v>46174</v>
      </c>
      <c r="K54" s="150">
        <v>46135</v>
      </c>
      <c r="L54" s="149">
        <f t="shared" si="0"/>
        <v>46194</v>
      </c>
      <c r="M54" s="6">
        <v>10054</v>
      </c>
      <c r="N54" s="148">
        <f t="shared" si="1"/>
        <v>46134</v>
      </c>
      <c r="O54" s="157"/>
      <c r="P54" s="208"/>
      <c r="Q54" s="18" t="s">
        <v>29</v>
      </c>
      <c r="R54" s="18">
        <f t="shared" si="2"/>
        <v>434993.076</v>
      </c>
      <c r="S54" s="3">
        <v>7.6999999999999999E-2</v>
      </c>
      <c r="T54" s="145">
        <f t="shared" si="3"/>
        <v>59</v>
      </c>
      <c r="U54" s="4">
        <f t="shared" si="4"/>
        <v>5414</v>
      </c>
      <c r="V54" s="4">
        <f t="shared" si="5"/>
        <v>429579.076</v>
      </c>
      <c r="W54" s="17"/>
      <c r="X54" s="6"/>
      <c r="Y54" s="94"/>
      <c r="Z54" s="94"/>
      <c r="AA54" s="20"/>
      <c r="AB54" s="19"/>
      <c r="AC54" s="165" cm="1">
        <f t="array" ref="AC54">_xlfn.IFS(D54="INDUSTOWER","275000000",D54="RELIANCEIN","220000000",D54="SIEMENSLTD","83330000")-I54</f>
        <v>274516674.36000001</v>
      </c>
    </row>
    <row r="55" spans="1:29" x14ac:dyDescent="0.25">
      <c r="A55" s="1">
        <v>6</v>
      </c>
      <c r="B55" s="1">
        <f>SUBTOTAL(3,C$3:C55)</f>
        <v>53</v>
      </c>
      <c r="C55" s="6" t="s">
        <v>93</v>
      </c>
      <c r="D55" s="30" t="s">
        <v>27</v>
      </c>
      <c r="E55" s="30" t="s">
        <v>7</v>
      </c>
      <c r="F55" s="54" t="s">
        <v>238</v>
      </c>
      <c r="G55" s="146">
        <v>46134</v>
      </c>
      <c r="H55" s="2" t="s">
        <v>6</v>
      </c>
      <c r="I55" s="89">
        <v>483325.64</v>
      </c>
      <c r="J55" s="149" cm="1">
        <f t="array" ref="J55">_xlfn.IFS(D55="INDUSTOWER","40",D55="RELIANCEIN","44",D55="SIEMENSLTD","120",D55="CLEANMAX","40",D55="AVAADA","40",D55="ARCHTECH","40")+G55</f>
        <v>46174</v>
      </c>
      <c r="K55" s="150">
        <v>46135</v>
      </c>
      <c r="L55" s="149">
        <f t="shared" si="0"/>
        <v>46194</v>
      </c>
      <c r="M55" s="6">
        <v>10053</v>
      </c>
      <c r="N55" s="148">
        <f t="shared" si="1"/>
        <v>46134</v>
      </c>
      <c r="O55" s="157"/>
      <c r="P55" s="208"/>
      <c r="Q55" s="18" t="s">
        <v>29</v>
      </c>
      <c r="R55" s="18">
        <f t="shared" si="2"/>
        <v>434993.076</v>
      </c>
      <c r="S55" s="3">
        <v>7.6999999999999999E-2</v>
      </c>
      <c r="T55" s="145">
        <f t="shared" si="3"/>
        <v>59</v>
      </c>
      <c r="U55" s="4">
        <f t="shared" si="4"/>
        <v>5414</v>
      </c>
      <c r="V55" s="4">
        <f t="shared" si="5"/>
        <v>429579.076</v>
      </c>
      <c r="W55" s="17"/>
      <c r="X55" s="6"/>
      <c r="Y55" s="94"/>
      <c r="Z55" s="94"/>
      <c r="AA55" s="20"/>
      <c r="AB55" s="19"/>
      <c r="AC55" s="165" cm="1">
        <f t="array" ref="AC55">_xlfn.IFS(D55="INDUSTOWER","275000000",D55="RELIANCEIN","220000000",D55="SIEMENSLTD","83330000")-I55</f>
        <v>274516674.36000001</v>
      </c>
    </row>
    <row r="56" spans="1:29" x14ac:dyDescent="0.25">
      <c r="A56" s="1">
        <f>SUBTOTAL(3,B$3:B56)</f>
        <v>0</v>
      </c>
      <c r="B56" s="1">
        <f>SUBTOTAL(3,C$3:C56)</f>
        <v>54</v>
      </c>
      <c r="C56" s="6" t="s">
        <v>93</v>
      </c>
      <c r="D56" s="30" t="s">
        <v>27</v>
      </c>
      <c r="E56" s="30" t="s">
        <v>7</v>
      </c>
      <c r="F56" s="54" t="s">
        <v>239</v>
      </c>
      <c r="G56" s="146">
        <v>46134</v>
      </c>
      <c r="H56" s="2" t="s">
        <v>6</v>
      </c>
      <c r="I56" s="89">
        <v>483325.64</v>
      </c>
      <c r="J56" s="149" cm="1">
        <f t="array" ref="J56">_xlfn.IFS(D56="INDUSTOWER","40",D56="RELIANCEIN","44",D56="SIEMENSLTD","120",D56="CLEANMAX","40",D56="AVAADA","40",D56="ARCHTECH","40")+G56</f>
        <v>46174</v>
      </c>
      <c r="K56" s="150">
        <v>46135</v>
      </c>
      <c r="L56" s="149">
        <f>+J56+20</f>
        <v>46194</v>
      </c>
      <c r="M56" s="6"/>
      <c r="N56" s="148">
        <f>+G56</f>
        <v>46134</v>
      </c>
      <c r="O56" s="157"/>
      <c r="P56" s="208"/>
      <c r="Q56" s="18" t="s">
        <v>29</v>
      </c>
      <c r="R56" s="18">
        <f>+I56*0.9</f>
        <v>434993.076</v>
      </c>
      <c r="S56" s="3"/>
      <c r="T56" s="145">
        <f>+J56-K56+20</f>
        <v>59</v>
      </c>
      <c r="U56" s="4">
        <f>ROUND(+R56*S56*T56/365,0)</f>
        <v>0</v>
      </c>
      <c r="V56" s="4">
        <f>+R56-U56</f>
        <v>434993.076</v>
      </c>
      <c r="W56" s="17"/>
      <c r="X56" s="6"/>
      <c r="Y56" s="94"/>
      <c r="Z56" s="94"/>
      <c r="AA56" s="20"/>
      <c r="AB56" s="19"/>
      <c r="AC56" s="165" cm="1">
        <f t="array" ref="AC56">_xlfn.IFS(D56="INDUSTOWER","275000000",D56="RELIANCEIN","220000000",D56="SIEMENSLTD","83330000")-I56</f>
        <v>274516674.36000001</v>
      </c>
    </row>
    <row r="57" spans="1:29" x14ac:dyDescent="0.25">
      <c r="A57" s="1">
        <v>6</v>
      </c>
      <c r="B57" s="1">
        <f>SUBTOTAL(3,C$3:C57)</f>
        <v>55</v>
      </c>
      <c r="C57" s="6" t="s">
        <v>93</v>
      </c>
      <c r="D57" s="30" t="s">
        <v>27</v>
      </c>
      <c r="E57" s="30" t="s">
        <v>7</v>
      </c>
      <c r="F57" s="54" t="s">
        <v>240</v>
      </c>
      <c r="G57" s="146">
        <v>46134</v>
      </c>
      <c r="H57" s="2" t="s">
        <v>6</v>
      </c>
      <c r="I57" s="89">
        <v>483325.64</v>
      </c>
      <c r="J57" s="149" cm="1">
        <f t="array" ref="J57">_xlfn.IFS(D57="INDUSTOWER","40",D57="RELIANCEIN","44",D57="SIEMENSLTD","120",D57="CLEANMAX","40",D57="AVAADA","40",D57="ARCHTECH","40")+G57</f>
        <v>46174</v>
      </c>
      <c r="K57" s="150">
        <v>46135</v>
      </c>
      <c r="L57" s="149">
        <f t="shared" ref="L57:L69" si="6">+J57+20</f>
        <v>46194</v>
      </c>
      <c r="M57" s="6">
        <v>21129</v>
      </c>
      <c r="N57" s="148">
        <f t="shared" ref="N57:N69" si="7">+G57</f>
        <v>46134</v>
      </c>
      <c r="O57" s="157"/>
      <c r="P57" s="208"/>
      <c r="Q57" s="18" t="s">
        <v>29</v>
      </c>
      <c r="R57" s="18">
        <f t="shared" ref="R57:R69" si="8">+I57*0.9</f>
        <v>434993.076</v>
      </c>
      <c r="S57" s="3">
        <v>7.6999999999999999E-2</v>
      </c>
      <c r="T57" s="145">
        <f t="shared" ref="T57:T69" si="9">+J57-K57+20</f>
        <v>59</v>
      </c>
      <c r="U57" s="4">
        <f t="shared" ref="U57:U69" si="10">ROUND(+R57*S57*T57/365,0)</f>
        <v>5414</v>
      </c>
      <c r="V57" s="4">
        <f t="shared" ref="V57:V69" si="11">+R57-U57</f>
        <v>429579.076</v>
      </c>
      <c r="W57" s="17"/>
      <c r="X57" s="6"/>
      <c r="Y57" s="94"/>
      <c r="Z57" s="94"/>
      <c r="AA57" s="20"/>
      <c r="AB57" s="19"/>
      <c r="AC57" s="165" cm="1">
        <f t="array" ref="AC57">_xlfn.IFS(D57="INDUSTOWER","275000000",D57="RELIANCEIN","220000000",D57="SIEMENSLTD","83330000")-I57</f>
        <v>274516674.36000001</v>
      </c>
    </row>
    <row r="58" spans="1:29" x14ac:dyDescent="0.25">
      <c r="A58" s="1">
        <v>7</v>
      </c>
      <c r="B58" s="1">
        <f>SUBTOTAL(3,C$3:C58)</f>
        <v>56</v>
      </c>
      <c r="C58" s="6" t="s">
        <v>93</v>
      </c>
      <c r="D58" s="30" t="s">
        <v>27</v>
      </c>
      <c r="E58" s="30" t="s">
        <v>7</v>
      </c>
      <c r="F58" s="54" t="s">
        <v>346</v>
      </c>
      <c r="G58" s="146">
        <v>46135</v>
      </c>
      <c r="H58" s="2" t="s">
        <v>6</v>
      </c>
      <c r="I58" s="89">
        <v>455946.1</v>
      </c>
      <c r="J58" s="149" cm="1">
        <f t="array" ref="J58">_xlfn.IFS(D58="INDUSTOWER","40",D58="RELIANCEIN","44",D58="SIEMENSLTD","120",D58="CLEANMAX","40",D58="AVAADA","40",D58="ARCHTECH","40")+G58</f>
        <v>46175</v>
      </c>
      <c r="K58" s="150">
        <v>46135</v>
      </c>
      <c r="L58" s="149">
        <f t="shared" si="6"/>
        <v>46195</v>
      </c>
      <c r="M58" s="6" t="s">
        <v>348</v>
      </c>
      <c r="N58" s="148">
        <f t="shared" si="7"/>
        <v>46135</v>
      </c>
      <c r="O58" s="157"/>
      <c r="P58" s="208"/>
      <c r="Q58" s="18" t="s">
        <v>28</v>
      </c>
      <c r="R58" s="18">
        <f t="shared" si="8"/>
        <v>410351.49</v>
      </c>
      <c r="S58" s="3">
        <v>7.6999999999999999E-2</v>
      </c>
      <c r="T58" s="145">
        <f t="shared" si="9"/>
        <v>60</v>
      </c>
      <c r="U58" s="4">
        <f t="shared" si="10"/>
        <v>5194</v>
      </c>
      <c r="V58" s="4">
        <f t="shared" si="11"/>
        <v>405157.49</v>
      </c>
      <c r="W58" s="17"/>
      <c r="X58" s="6"/>
      <c r="Y58" s="94"/>
      <c r="Z58" s="94"/>
      <c r="AA58" s="20"/>
      <c r="AB58" s="19"/>
      <c r="AC58" s="165" cm="1">
        <f t="array" ref="AC58">_xlfn.IFS(D58="INDUSTOWER","275000000",D58="RELIANCEIN","220000000",D58="SIEMENSLTD","83330000")-I58</f>
        <v>274544053.89999998</v>
      </c>
    </row>
    <row r="59" spans="1:29" x14ac:dyDescent="0.25">
      <c r="A59" s="1">
        <v>7</v>
      </c>
      <c r="B59" s="1">
        <f>SUBTOTAL(3,C$3:C59)</f>
        <v>57</v>
      </c>
      <c r="C59" s="6" t="s">
        <v>93</v>
      </c>
      <c r="D59" s="30" t="s">
        <v>27</v>
      </c>
      <c r="E59" s="30" t="s">
        <v>7</v>
      </c>
      <c r="F59" s="54" t="s">
        <v>347</v>
      </c>
      <c r="G59" s="146">
        <v>46135</v>
      </c>
      <c r="H59" s="2" t="s">
        <v>6</v>
      </c>
      <c r="I59" s="89">
        <v>483325.64</v>
      </c>
      <c r="J59" s="149" cm="1">
        <f t="array" ref="J59">_xlfn.IFS(D59="INDUSTOWER","40",D59="RELIANCEIN","44",D59="SIEMENSLTD","120",D59="CLEANMAX","40",D59="AVAADA","40",D59="ARCHTECH","40")+G59</f>
        <v>46175</v>
      </c>
      <c r="K59" s="150">
        <v>46135</v>
      </c>
      <c r="L59" s="149">
        <f t="shared" si="6"/>
        <v>46195</v>
      </c>
      <c r="M59" s="6" t="s">
        <v>349</v>
      </c>
      <c r="N59" s="148">
        <f t="shared" si="7"/>
        <v>46135</v>
      </c>
      <c r="O59" s="157"/>
      <c r="P59" s="208"/>
      <c r="Q59" s="18" t="s">
        <v>29</v>
      </c>
      <c r="R59" s="18">
        <f t="shared" si="8"/>
        <v>434993.076</v>
      </c>
      <c r="S59" s="3">
        <v>7.6999999999999999E-2</v>
      </c>
      <c r="T59" s="145">
        <f t="shared" si="9"/>
        <v>60</v>
      </c>
      <c r="U59" s="4">
        <f t="shared" si="10"/>
        <v>5506</v>
      </c>
      <c r="V59" s="4">
        <f t="shared" si="11"/>
        <v>429487.076</v>
      </c>
      <c r="W59" s="17"/>
      <c r="X59" s="6"/>
      <c r="Y59" s="94"/>
      <c r="Z59" s="94"/>
      <c r="AA59" s="20"/>
      <c r="AB59" s="19"/>
      <c r="AC59" s="165" cm="1">
        <f t="array" ref="AC59">_xlfn.IFS(D59="INDUSTOWER","275000000",D59="RELIANCEIN","220000000",D59="SIEMENSLTD","83330000")-I59</f>
        <v>274516674.36000001</v>
      </c>
    </row>
    <row r="60" spans="1:29" x14ac:dyDescent="0.25">
      <c r="A60" s="1">
        <v>8</v>
      </c>
      <c r="B60" s="1">
        <f>SUBTOTAL(3,C$3:C60)</f>
        <v>58</v>
      </c>
      <c r="C60" s="6" t="s">
        <v>93</v>
      </c>
      <c r="D60" s="30" t="s">
        <v>27</v>
      </c>
      <c r="E60" s="30" t="s">
        <v>7</v>
      </c>
      <c r="F60" s="54" t="s">
        <v>415</v>
      </c>
      <c r="G60" s="146">
        <v>46136</v>
      </c>
      <c r="H60" s="2" t="s">
        <v>6</v>
      </c>
      <c r="I60" s="89">
        <v>684578.18</v>
      </c>
      <c r="J60" s="149" cm="1">
        <f t="array" ref="J60">_xlfn.IFS(D60="INDUSTOWER","40",D60="RELIANCEIN","44",D60="SIEMENSLTD","120",D60="CLEANMAX","40",D60="AVAADA","40",D60="ARCHTECH","40")+G60</f>
        <v>46176</v>
      </c>
      <c r="K60" s="150">
        <v>46136</v>
      </c>
      <c r="L60" s="149">
        <f t="shared" si="6"/>
        <v>46196</v>
      </c>
      <c r="M60" s="6" t="s">
        <v>79</v>
      </c>
      <c r="N60" s="148">
        <f t="shared" si="7"/>
        <v>46136</v>
      </c>
      <c r="O60" s="157"/>
      <c r="P60" s="208"/>
      <c r="Q60" s="18" t="s">
        <v>70</v>
      </c>
      <c r="R60" s="18">
        <f t="shared" si="8"/>
        <v>616120.36200000008</v>
      </c>
      <c r="S60" s="3">
        <v>7.6999999999999999E-2</v>
      </c>
      <c r="T60" s="145">
        <f t="shared" si="9"/>
        <v>60</v>
      </c>
      <c r="U60" s="4">
        <f t="shared" si="10"/>
        <v>7799</v>
      </c>
      <c r="V60" s="4">
        <f t="shared" si="11"/>
        <v>608321.36200000008</v>
      </c>
      <c r="W60" s="17"/>
      <c r="X60" s="6"/>
      <c r="Y60" s="94"/>
      <c r="Z60" s="94"/>
      <c r="AA60" s="20"/>
      <c r="AB60" s="19"/>
      <c r="AC60" s="165" cm="1">
        <f t="array" ref="AC60">_xlfn.IFS(D60="INDUSTOWER","275000000",D60="RELIANCEIN","220000000",D60="SIEMENSLTD","83330000")-I60</f>
        <v>274315421.81999999</v>
      </c>
    </row>
    <row r="61" spans="1:29" x14ac:dyDescent="0.25">
      <c r="A61" s="1">
        <v>8</v>
      </c>
      <c r="B61" s="1">
        <f>SUBTOTAL(3,C$3:C61)</f>
        <v>59</v>
      </c>
      <c r="C61" s="6" t="s">
        <v>93</v>
      </c>
      <c r="D61" s="30" t="s">
        <v>27</v>
      </c>
      <c r="E61" s="30" t="s">
        <v>7</v>
      </c>
      <c r="F61" s="54" t="s">
        <v>416</v>
      </c>
      <c r="G61" s="146">
        <v>46136</v>
      </c>
      <c r="H61" s="2" t="s">
        <v>6</v>
      </c>
      <c r="I61" s="89">
        <v>75263.94</v>
      </c>
      <c r="J61" s="149" cm="1">
        <f t="array" ref="J61">_xlfn.IFS(D61="INDUSTOWER","40",D61="RELIANCEIN","44",D61="SIEMENSLTD","120",D61="CLEANMAX","40",D61="AVAADA","40",D61="ARCHTECH","40")+G61</f>
        <v>46176</v>
      </c>
      <c r="K61" s="150">
        <v>46136</v>
      </c>
      <c r="L61" s="149">
        <f t="shared" si="6"/>
        <v>46196</v>
      </c>
      <c r="M61" s="6" t="s">
        <v>80</v>
      </c>
      <c r="N61" s="148">
        <f t="shared" si="7"/>
        <v>46136</v>
      </c>
      <c r="O61" s="157"/>
      <c r="P61" s="208"/>
      <c r="Q61" s="18" t="s">
        <v>69</v>
      </c>
      <c r="R61" s="18">
        <f t="shared" si="8"/>
        <v>67737.546000000002</v>
      </c>
      <c r="S61" s="3">
        <v>7.6999999999999999E-2</v>
      </c>
      <c r="T61" s="145">
        <f t="shared" si="9"/>
        <v>60</v>
      </c>
      <c r="U61" s="4">
        <f t="shared" si="10"/>
        <v>857</v>
      </c>
      <c r="V61" s="4">
        <f t="shared" si="11"/>
        <v>66880.546000000002</v>
      </c>
      <c r="W61" s="17"/>
      <c r="X61" s="6"/>
      <c r="Y61" s="94"/>
      <c r="Z61" s="94"/>
      <c r="AA61" s="20"/>
      <c r="AB61" s="19"/>
      <c r="AC61" s="165" cm="1">
        <f t="array" ref="AC61">_xlfn.IFS(D61="INDUSTOWER","275000000",D61="RELIANCEIN","220000000",D61="SIEMENSLTD","83330000")-I61</f>
        <v>274924736.06</v>
      </c>
    </row>
    <row r="62" spans="1:29" x14ac:dyDescent="0.25">
      <c r="A62" s="1">
        <v>8</v>
      </c>
      <c r="B62" s="1">
        <f>SUBTOTAL(3,C$3:C62)</f>
        <v>60</v>
      </c>
      <c r="C62" s="6" t="s">
        <v>93</v>
      </c>
      <c r="D62" s="30" t="s">
        <v>27</v>
      </c>
      <c r="E62" s="30" t="s">
        <v>7</v>
      </c>
      <c r="F62" s="54" t="s">
        <v>417</v>
      </c>
      <c r="G62" s="146">
        <v>46136</v>
      </c>
      <c r="H62" s="2" t="s">
        <v>6</v>
      </c>
      <c r="I62" s="89">
        <v>684578.18</v>
      </c>
      <c r="J62" s="149" cm="1">
        <f t="array" ref="J62">_xlfn.IFS(D62="INDUSTOWER","40",D62="RELIANCEIN","44",D62="SIEMENSLTD","120",D62="CLEANMAX","40",D62="AVAADA","40",D62="ARCHTECH","40")+G62</f>
        <v>46176</v>
      </c>
      <c r="K62" s="150">
        <v>46136</v>
      </c>
      <c r="L62" s="149">
        <f t="shared" si="6"/>
        <v>46196</v>
      </c>
      <c r="M62" s="6" t="s">
        <v>81</v>
      </c>
      <c r="N62" s="148">
        <f t="shared" si="7"/>
        <v>46136</v>
      </c>
      <c r="O62" s="157"/>
      <c r="P62" s="208"/>
      <c r="Q62" s="18" t="s">
        <v>70</v>
      </c>
      <c r="R62" s="18">
        <f t="shared" si="8"/>
        <v>616120.36200000008</v>
      </c>
      <c r="S62" s="3">
        <v>7.6999999999999999E-2</v>
      </c>
      <c r="T62" s="145">
        <f t="shared" si="9"/>
        <v>60</v>
      </c>
      <c r="U62" s="4">
        <f t="shared" si="10"/>
        <v>7799</v>
      </c>
      <c r="V62" s="4">
        <f t="shared" si="11"/>
        <v>608321.36200000008</v>
      </c>
      <c r="W62" s="17"/>
      <c r="X62" s="6"/>
      <c r="Y62" s="94"/>
      <c r="Z62" s="94"/>
      <c r="AA62" s="20"/>
      <c r="AB62" s="19"/>
      <c r="AC62" s="165" cm="1">
        <f t="array" ref="AC62">_xlfn.IFS(D62="INDUSTOWER","275000000",D62="RELIANCEIN","220000000",D62="SIEMENSLTD","83330000")-I62</f>
        <v>274315421.81999999</v>
      </c>
    </row>
    <row r="63" spans="1:29" x14ac:dyDescent="0.25">
      <c r="A63" s="1">
        <v>8</v>
      </c>
      <c r="B63" s="1">
        <f>SUBTOTAL(3,C$3:C63)</f>
        <v>61</v>
      </c>
      <c r="C63" s="6" t="s">
        <v>93</v>
      </c>
      <c r="D63" s="30" t="s">
        <v>27</v>
      </c>
      <c r="E63" s="30" t="s">
        <v>7</v>
      </c>
      <c r="F63" s="54" t="s">
        <v>418</v>
      </c>
      <c r="G63" s="146">
        <v>46136</v>
      </c>
      <c r="H63" s="2" t="s">
        <v>6</v>
      </c>
      <c r="I63" s="89">
        <v>75263.94</v>
      </c>
      <c r="J63" s="149" cm="1">
        <f t="array" ref="J63">_xlfn.IFS(D63="INDUSTOWER","40",D63="RELIANCEIN","44",D63="SIEMENSLTD","120",D63="CLEANMAX","40",D63="AVAADA","40",D63="ARCHTECH","40")+G63</f>
        <v>46176</v>
      </c>
      <c r="K63" s="150">
        <v>46136</v>
      </c>
      <c r="L63" s="149">
        <f t="shared" si="6"/>
        <v>46196</v>
      </c>
      <c r="M63" s="6" t="s">
        <v>82</v>
      </c>
      <c r="N63" s="148">
        <f t="shared" si="7"/>
        <v>46136</v>
      </c>
      <c r="O63" s="157"/>
      <c r="P63" s="208"/>
      <c r="Q63" s="18" t="s">
        <v>69</v>
      </c>
      <c r="R63" s="18">
        <f t="shared" si="8"/>
        <v>67737.546000000002</v>
      </c>
      <c r="S63" s="3">
        <v>7.6999999999999999E-2</v>
      </c>
      <c r="T63" s="145">
        <f t="shared" si="9"/>
        <v>60</v>
      </c>
      <c r="U63" s="4">
        <f t="shared" si="10"/>
        <v>857</v>
      </c>
      <c r="V63" s="4">
        <f t="shared" si="11"/>
        <v>66880.546000000002</v>
      </c>
      <c r="W63" s="17"/>
      <c r="X63" s="6"/>
      <c r="Y63" s="94"/>
      <c r="Z63" s="94"/>
      <c r="AA63" s="20"/>
      <c r="AB63" s="19"/>
      <c r="AC63" s="165" cm="1">
        <f t="array" ref="AC63">_xlfn.IFS(D63="INDUSTOWER","275000000",D63="RELIANCEIN","220000000",D63="SIEMENSLTD","83330000")-I63</f>
        <v>274924736.06</v>
      </c>
    </row>
    <row r="64" spans="1:29" x14ac:dyDescent="0.25">
      <c r="A64" s="1">
        <v>8</v>
      </c>
      <c r="B64" s="1">
        <f>SUBTOTAL(3,C$3:C64)</f>
        <v>62</v>
      </c>
      <c r="C64" s="6" t="s">
        <v>93</v>
      </c>
      <c r="D64" s="30" t="s">
        <v>27</v>
      </c>
      <c r="E64" s="30" t="s">
        <v>7</v>
      </c>
      <c r="F64" s="54" t="s">
        <v>419</v>
      </c>
      <c r="G64" s="146">
        <v>46136</v>
      </c>
      <c r="H64" s="2" t="s">
        <v>6</v>
      </c>
      <c r="I64" s="89">
        <v>574467.66</v>
      </c>
      <c r="J64" s="149" cm="1">
        <f t="array" ref="J64">_xlfn.IFS(D64="INDUSTOWER","40",D64="RELIANCEIN","44",D64="SIEMENSLTD","120",D64="CLEANMAX","40",D64="AVAADA","40",D64="ARCHTECH","40")+G64</f>
        <v>46176</v>
      </c>
      <c r="K64" s="150">
        <v>46136</v>
      </c>
      <c r="L64" s="149">
        <f t="shared" si="6"/>
        <v>46196</v>
      </c>
      <c r="M64" s="6" t="s">
        <v>425</v>
      </c>
      <c r="N64" s="148">
        <f t="shared" si="7"/>
        <v>46136</v>
      </c>
      <c r="O64" s="157"/>
      <c r="P64" s="208"/>
      <c r="Q64" s="18" t="s">
        <v>76</v>
      </c>
      <c r="R64" s="18">
        <f t="shared" si="8"/>
        <v>517020.89400000003</v>
      </c>
      <c r="S64" s="3">
        <v>7.6999999999999999E-2</v>
      </c>
      <c r="T64" s="145">
        <f t="shared" si="9"/>
        <v>60</v>
      </c>
      <c r="U64" s="4">
        <f t="shared" si="10"/>
        <v>6544</v>
      </c>
      <c r="V64" s="4">
        <f t="shared" si="11"/>
        <v>510476.89400000003</v>
      </c>
      <c r="W64" s="17"/>
      <c r="X64" s="6"/>
      <c r="Y64" s="94"/>
      <c r="Z64" s="94"/>
      <c r="AA64" s="20"/>
      <c r="AB64" s="19"/>
      <c r="AC64" s="165" cm="1">
        <f t="array" ref="AC64">_xlfn.IFS(D64="INDUSTOWER","275000000",D64="RELIANCEIN","220000000",D64="SIEMENSLTD","83330000")-I64</f>
        <v>274425532.33999997</v>
      </c>
    </row>
    <row r="65" spans="1:29" x14ac:dyDescent="0.25">
      <c r="A65" s="1">
        <v>8</v>
      </c>
      <c r="B65" s="1">
        <f>SUBTOTAL(3,C$3:C65)</f>
        <v>63</v>
      </c>
      <c r="C65" s="6" t="s">
        <v>93</v>
      </c>
      <c r="D65" s="30" t="s">
        <v>27</v>
      </c>
      <c r="E65" s="30" t="s">
        <v>7</v>
      </c>
      <c r="F65" s="54" t="s">
        <v>420</v>
      </c>
      <c r="G65" s="146">
        <v>46136</v>
      </c>
      <c r="H65" s="2" t="s">
        <v>6</v>
      </c>
      <c r="I65" s="89">
        <v>574467.66</v>
      </c>
      <c r="J65" s="149" cm="1">
        <f t="array" ref="J65">_xlfn.IFS(D65="INDUSTOWER","40",D65="RELIANCEIN","44",D65="SIEMENSLTD","120",D65="CLEANMAX","40",D65="AVAADA","40",D65="ARCHTECH","40")+G65</f>
        <v>46176</v>
      </c>
      <c r="K65" s="150">
        <v>46136</v>
      </c>
      <c r="L65" s="149">
        <f t="shared" si="6"/>
        <v>46196</v>
      </c>
      <c r="M65" s="6" t="s">
        <v>426</v>
      </c>
      <c r="N65" s="148">
        <f t="shared" si="7"/>
        <v>46136</v>
      </c>
      <c r="O65" s="157"/>
      <c r="P65" s="208"/>
      <c r="Q65" s="18" t="s">
        <v>76</v>
      </c>
      <c r="R65" s="18">
        <f t="shared" si="8"/>
        <v>517020.89400000003</v>
      </c>
      <c r="S65" s="3">
        <v>7.6999999999999999E-2</v>
      </c>
      <c r="T65" s="145">
        <f t="shared" si="9"/>
        <v>60</v>
      </c>
      <c r="U65" s="4">
        <f t="shared" si="10"/>
        <v>6544</v>
      </c>
      <c r="V65" s="4">
        <f t="shared" si="11"/>
        <v>510476.89400000003</v>
      </c>
      <c r="W65" s="17"/>
      <c r="X65" s="6"/>
      <c r="Y65" s="94"/>
      <c r="Z65" s="94"/>
      <c r="AA65" s="20"/>
      <c r="AB65" s="19"/>
      <c r="AC65" s="165" cm="1">
        <f t="array" ref="AC65">_xlfn.IFS(D65="INDUSTOWER","275000000",D65="RELIANCEIN","220000000",D65="SIEMENSLTD","83330000")-I65</f>
        <v>274425532.33999997</v>
      </c>
    </row>
    <row r="66" spans="1:29" x14ac:dyDescent="0.25">
      <c r="A66" s="1">
        <v>8</v>
      </c>
      <c r="B66" s="1">
        <f>SUBTOTAL(3,C$3:C66)</f>
        <v>64</v>
      </c>
      <c r="C66" s="6" t="s">
        <v>93</v>
      </c>
      <c r="D66" s="30" t="s">
        <v>27</v>
      </c>
      <c r="E66" s="30" t="s">
        <v>7</v>
      </c>
      <c r="F66" s="54" t="s">
        <v>421</v>
      </c>
      <c r="G66" s="146">
        <v>46136</v>
      </c>
      <c r="H66" s="2" t="s">
        <v>6</v>
      </c>
      <c r="I66" s="89">
        <v>574467.66</v>
      </c>
      <c r="J66" s="149" cm="1">
        <f t="array" ref="J66">_xlfn.IFS(D66="INDUSTOWER","40",D66="RELIANCEIN","44",D66="SIEMENSLTD","120",D66="CLEANMAX","40",D66="AVAADA","40",D66="ARCHTECH","40")+G66</f>
        <v>46176</v>
      </c>
      <c r="K66" s="150">
        <v>46136</v>
      </c>
      <c r="L66" s="149">
        <f t="shared" si="6"/>
        <v>46196</v>
      </c>
      <c r="M66" s="6" t="s">
        <v>427</v>
      </c>
      <c r="N66" s="148">
        <f t="shared" si="7"/>
        <v>46136</v>
      </c>
      <c r="O66" s="157"/>
      <c r="P66" s="208"/>
      <c r="Q66" s="18" t="s">
        <v>76</v>
      </c>
      <c r="R66" s="18">
        <f t="shared" si="8"/>
        <v>517020.89400000003</v>
      </c>
      <c r="S66" s="3">
        <v>7.6999999999999999E-2</v>
      </c>
      <c r="T66" s="145">
        <f t="shared" si="9"/>
        <v>60</v>
      </c>
      <c r="U66" s="4">
        <f t="shared" si="10"/>
        <v>6544</v>
      </c>
      <c r="V66" s="4">
        <f t="shared" si="11"/>
        <v>510476.89400000003</v>
      </c>
      <c r="W66" s="17"/>
      <c r="X66" s="6"/>
      <c r="Y66" s="94"/>
      <c r="Z66" s="94"/>
      <c r="AA66" s="20"/>
      <c r="AB66" s="19"/>
      <c r="AC66" s="165" cm="1">
        <f t="array" ref="AC66">_xlfn.IFS(D66="INDUSTOWER","275000000",D66="RELIANCEIN","220000000",D66="SIEMENSLTD","83330000")-I66</f>
        <v>274425532.33999997</v>
      </c>
    </row>
    <row r="67" spans="1:29" x14ac:dyDescent="0.25">
      <c r="A67" s="1">
        <v>8</v>
      </c>
      <c r="B67" s="1">
        <f>SUBTOTAL(3,C$3:C67)</f>
        <v>65</v>
      </c>
      <c r="C67" s="6" t="s">
        <v>93</v>
      </c>
      <c r="D67" s="30" t="s">
        <v>27</v>
      </c>
      <c r="E67" s="30" t="s">
        <v>7</v>
      </c>
      <c r="F67" s="54" t="s">
        <v>422</v>
      </c>
      <c r="G67" s="146">
        <v>46136</v>
      </c>
      <c r="H67" s="2" t="s">
        <v>6</v>
      </c>
      <c r="I67" s="89">
        <v>574467.66</v>
      </c>
      <c r="J67" s="149" cm="1">
        <f t="array" ref="J67">_xlfn.IFS(D67="INDUSTOWER","40",D67="RELIANCEIN","44",D67="SIEMENSLTD","120",D67="CLEANMAX","40",D67="AVAADA","40",D67="ARCHTECH","40")+G67</f>
        <v>46176</v>
      </c>
      <c r="K67" s="150">
        <v>46136</v>
      </c>
      <c r="L67" s="149">
        <f t="shared" si="6"/>
        <v>46196</v>
      </c>
      <c r="M67" s="6" t="s">
        <v>84</v>
      </c>
      <c r="N67" s="148">
        <f t="shared" si="7"/>
        <v>46136</v>
      </c>
      <c r="O67" s="157"/>
      <c r="P67" s="208"/>
      <c r="Q67" s="18" t="s">
        <v>76</v>
      </c>
      <c r="R67" s="18">
        <f t="shared" si="8"/>
        <v>517020.89400000003</v>
      </c>
      <c r="S67" s="3">
        <v>7.6999999999999999E-2</v>
      </c>
      <c r="T67" s="145">
        <f t="shared" si="9"/>
        <v>60</v>
      </c>
      <c r="U67" s="4">
        <f t="shared" si="10"/>
        <v>6544</v>
      </c>
      <c r="V67" s="4">
        <f t="shared" si="11"/>
        <v>510476.89400000003</v>
      </c>
      <c r="W67" s="17"/>
      <c r="X67" s="6"/>
      <c r="Y67" s="94"/>
      <c r="Z67" s="94"/>
      <c r="AA67" s="20"/>
      <c r="AB67" s="19"/>
      <c r="AC67" s="165" cm="1">
        <f t="array" ref="AC67">_xlfn.IFS(D67="INDUSTOWER","275000000",D67="RELIANCEIN","220000000",D67="SIEMENSLTD","83330000")-I67</f>
        <v>274425532.33999997</v>
      </c>
    </row>
    <row r="68" spans="1:29" x14ac:dyDescent="0.25">
      <c r="A68" s="1">
        <v>8</v>
      </c>
      <c r="B68" s="1">
        <f>SUBTOTAL(3,C$3:C68)</f>
        <v>66</v>
      </c>
      <c r="C68" s="6" t="s">
        <v>93</v>
      </c>
      <c r="D68" s="30" t="s">
        <v>27</v>
      </c>
      <c r="E68" s="30" t="s">
        <v>7</v>
      </c>
      <c r="F68" s="54" t="s">
        <v>423</v>
      </c>
      <c r="G68" s="146">
        <v>46136</v>
      </c>
      <c r="H68" s="2" t="s">
        <v>6</v>
      </c>
      <c r="I68" s="89">
        <v>574467.66</v>
      </c>
      <c r="J68" s="149" cm="1">
        <f t="array" ref="J68">_xlfn.IFS(D68="INDUSTOWER","40",D68="RELIANCEIN","44",D68="SIEMENSLTD","120",D68="CLEANMAX","40",D68="AVAADA","40",D68="ARCHTECH","40")+G68</f>
        <v>46176</v>
      </c>
      <c r="K68" s="150">
        <v>46136</v>
      </c>
      <c r="L68" s="149">
        <f t="shared" si="6"/>
        <v>46196</v>
      </c>
      <c r="M68" s="6" t="s">
        <v>85</v>
      </c>
      <c r="N68" s="148">
        <f t="shared" si="7"/>
        <v>46136</v>
      </c>
      <c r="O68" s="157"/>
      <c r="P68" s="208"/>
      <c r="Q68" s="18" t="s">
        <v>76</v>
      </c>
      <c r="R68" s="18">
        <f t="shared" si="8"/>
        <v>517020.89400000003</v>
      </c>
      <c r="S68" s="3">
        <v>7.6999999999999999E-2</v>
      </c>
      <c r="T68" s="145">
        <f t="shared" si="9"/>
        <v>60</v>
      </c>
      <c r="U68" s="4">
        <f t="shared" si="10"/>
        <v>6544</v>
      </c>
      <c r="V68" s="4">
        <f t="shared" si="11"/>
        <v>510476.89400000003</v>
      </c>
      <c r="W68" s="17"/>
      <c r="X68" s="6"/>
      <c r="Y68" s="94"/>
      <c r="Z68" s="94"/>
      <c r="AA68" s="20"/>
      <c r="AB68" s="19"/>
      <c r="AC68" s="165" cm="1">
        <f t="array" ref="AC68">_xlfn.IFS(D68="INDUSTOWER","275000000",D68="RELIANCEIN","220000000",D68="SIEMENSLTD","83330000")-I68</f>
        <v>274425532.33999997</v>
      </c>
    </row>
    <row r="69" spans="1:29" x14ac:dyDescent="0.25">
      <c r="A69" s="1">
        <v>8</v>
      </c>
      <c r="B69" s="1">
        <f>SUBTOTAL(3,C$3:C69)</f>
        <v>67</v>
      </c>
      <c r="C69" s="6" t="s">
        <v>93</v>
      </c>
      <c r="D69" s="30" t="s">
        <v>27</v>
      </c>
      <c r="E69" s="30" t="s">
        <v>7</v>
      </c>
      <c r="F69" s="54" t="s">
        <v>424</v>
      </c>
      <c r="G69" s="146">
        <v>46136</v>
      </c>
      <c r="H69" s="2" t="s">
        <v>6</v>
      </c>
      <c r="I69" s="89">
        <v>481668.92</v>
      </c>
      <c r="J69" s="149" cm="1">
        <f t="array" ref="J69">_xlfn.IFS(D69="INDUSTOWER","40",D69="RELIANCEIN","44",D69="SIEMENSLTD","120",D69="CLEANMAX","40",D69="AVAADA","40",D69="ARCHTECH","40")+G69</f>
        <v>46176</v>
      </c>
      <c r="K69" s="150">
        <v>46136</v>
      </c>
      <c r="L69" s="149">
        <f t="shared" si="6"/>
        <v>46196</v>
      </c>
      <c r="M69" s="6" t="s">
        <v>428</v>
      </c>
      <c r="N69" s="148">
        <f t="shared" si="7"/>
        <v>46136</v>
      </c>
      <c r="O69" s="157"/>
      <c r="P69" s="208"/>
      <c r="Q69" s="18" t="s">
        <v>36</v>
      </c>
      <c r="R69" s="18">
        <f t="shared" si="8"/>
        <v>433502.02799999999</v>
      </c>
      <c r="S69" s="3">
        <v>7.6999999999999999E-2</v>
      </c>
      <c r="T69" s="145">
        <f t="shared" si="9"/>
        <v>60</v>
      </c>
      <c r="U69" s="4">
        <f t="shared" si="10"/>
        <v>5487</v>
      </c>
      <c r="V69" s="4">
        <f t="shared" si="11"/>
        <v>428015.02799999999</v>
      </c>
      <c r="W69" s="17"/>
      <c r="X69" s="6"/>
      <c r="Y69" s="94"/>
      <c r="Z69" s="94"/>
      <c r="AA69" s="20"/>
      <c r="AB69" s="19"/>
      <c r="AC69" s="165" cm="1">
        <f t="array" ref="AC69">_xlfn.IFS(D69="INDUSTOWER","275000000",D69="RELIANCEIN","220000000",D69="SIEMENSLTD","83330000")-I69</f>
        <v>274518331.07999998</v>
      </c>
    </row>
    <row r="70" spans="1:29" x14ac:dyDescent="0.25">
      <c r="A70" s="1">
        <v>9</v>
      </c>
      <c r="B70" s="1">
        <f>SUBTOTAL(3,C$3:C70)</f>
        <v>68</v>
      </c>
      <c r="C70" s="6" t="s">
        <v>93</v>
      </c>
      <c r="D70" s="30" t="s">
        <v>27</v>
      </c>
      <c r="E70" s="30" t="s">
        <v>7</v>
      </c>
      <c r="F70" s="54" t="s">
        <v>433</v>
      </c>
      <c r="G70" s="146">
        <v>46138</v>
      </c>
      <c r="H70" s="2" t="s">
        <v>6</v>
      </c>
      <c r="I70" s="89">
        <v>574467.66</v>
      </c>
      <c r="J70" s="149" cm="1">
        <f t="array" ref="J70">_xlfn.IFS(D70="INDUSTOWER","40",D70="RELIANCEIN","44",D70="SIEMENSLTD","120",D70="CLEANMAX","40",D70="AVAADA","40",D70="ARCHTECH","40")+G70</f>
        <v>46178</v>
      </c>
      <c r="K70" s="150">
        <v>46139</v>
      </c>
      <c r="L70" s="149">
        <f>+J70+20</f>
        <v>46198</v>
      </c>
      <c r="M70" s="6" t="s">
        <v>437</v>
      </c>
      <c r="N70" s="148">
        <f>+G70</f>
        <v>46138</v>
      </c>
      <c r="O70" s="157"/>
      <c r="P70" s="208"/>
      <c r="Q70" s="18" t="s">
        <v>76</v>
      </c>
      <c r="R70" s="18">
        <f>+I70*0.9</f>
        <v>517020.89400000003</v>
      </c>
      <c r="S70" s="3">
        <v>7.6999999999999999E-2</v>
      </c>
      <c r="T70" s="145">
        <f>+J70-K70+20</f>
        <v>59</v>
      </c>
      <c r="U70" s="4">
        <f>ROUND(+R70*S70*T70/365,0)</f>
        <v>6435</v>
      </c>
      <c r="V70" s="4">
        <f>+R70-U70</f>
        <v>510585.89400000003</v>
      </c>
      <c r="W70" s="17"/>
      <c r="X70" s="6"/>
      <c r="Y70" s="94"/>
      <c r="Z70" s="94"/>
      <c r="AA70" s="20"/>
      <c r="AB70" s="19"/>
      <c r="AC70" s="165" cm="1">
        <f t="array" ref="AC70">_xlfn.IFS(D70="INDUSTOWER","275000000",D70="RELIANCEIN","220000000",D70="SIEMENSLTD","83330000")-I70</f>
        <v>274425532.33999997</v>
      </c>
    </row>
    <row r="71" spans="1:29" x14ac:dyDescent="0.25">
      <c r="A71" s="1">
        <v>9</v>
      </c>
      <c r="B71" s="1">
        <f>SUBTOTAL(3,C$3:C71)</f>
        <v>69</v>
      </c>
      <c r="C71" s="6" t="s">
        <v>93</v>
      </c>
      <c r="D71" s="30" t="s">
        <v>27</v>
      </c>
      <c r="E71" s="30" t="s">
        <v>7</v>
      </c>
      <c r="F71" s="54" t="s">
        <v>434</v>
      </c>
      <c r="G71" s="146">
        <v>46138</v>
      </c>
      <c r="H71" s="2" t="s">
        <v>6</v>
      </c>
      <c r="I71" s="89">
        <v>574467.66</v>
      </c>
      <c r="J71" s="149" cm="1">
        <f t="array" ref="J71">_xlfn.IFS(D71="INDUSTOWER","40",D71="RELIANCEIN","44",D71="SIEMENSLTD","120",D71="CLEANMAX","40",D71="AVAADA","40",D71="ARCHTECH","40")+G71</f>
        <v>46178</v>
      </c>
      <c r="K71" s="150">
        <v>46139</v>
      </c>
      <c r="L71" s="149">
        <f>+J71+20</f>
        <v>46198</v>
      </c>
      <c r="M71" s="6" t="s">
        <v>87</v>
      </c>
      <c r="N71" s="148">
        <f>+G71</f>
        <v>46138</v>
      </c>
      <c r="O71" s="157"/>
      <c r="P71" s="208"/>
      <c r="Q71" s="18" t="s">
        <v>76</v>
      </c>
      <c r="R71" s="18">
        <f>+I71*0.9</f>
        <v>517020.89400000003</v>
      </c>
      <c r="S71" s="3">
        <v>7.6999999999999999E-2</v>
      </c>
      <c r="T71" s="145">
        <f>+J71-K71+20</f>
        <v>59</v>
      </c>
      <c r="U71" s="4">
        <f>ROUND(+R71*S71*T71/365,0)</f>
        <v>6435</v>
      </c>
      <c r="V71" s="4">
        <f>+R71-U71</f>
        <v>510585.89400000003</v>
      </c>
      <c r="W71" s="17"/>
      <c r="X71" s="6"/>
      <c r="Y71" s="94"/>
      <c r="Z71" s="94"/>
      <c r="AA71" s="20"/>
      <c r="AB71" s="19"/>
      <c r="AC71" s="165" cm="1">
        <f t="array" ref="AC71">_xlfn.IFS(D71="INDUSTOWER","275000000",D71="RELIANCEIN","220000000",D71="SIEMENSLTD","83330000")-I71</f>
        <v>274425532.33999997</v>
      </c>
    </row>
    <row r="72" spans="1:29" x14ac:dyDescent="0.25">
      <c r="A72" s="1">
        <v>9</v>
      </c>
      <c r="B72" s="1">
        <f>SUBTOTAL(3,C$3:C72)</f>
        <v>70</v>
      </c>
      <c r="C72" s="6" t="s">
        <v>93</v>
      </c>
      <c r="D72" s="30" t="s">
        <v>27</v>
      </c>
      <c r="E72" s="30" t="s">
        <v>7</v>
      </c>
      <c r="F72" s="54" t="s">
        <v>435</v>
      </c>
      <c r="G72" s="146">
        <v>46138</v>
      </c>
      <c r="H72" s="2" t="s">
        <v>6</v>
      </c>
      <c r="I72" s="89">
        <v>574467.66</v>
      </c>
      <c r="J72" s="149" cm="1">
        <f t="array" ref="J72">_xlfn.IFS(D72="INDUSTOWER","40",D72="RELIANCEIN","44",D72="SIEMENSLTD","120",D72="CLEANMAX","40",D72="AVAADA","40",D72="ARCHTECH","40")+G72</f>
        <v>46178</v>
      </c>
      <c r="K72" s="150">
        <v>46139</v>
      </c>
      <c r="L72" s="149">
        <f>+J72+20</f>
        <v>46198</v>
      </c>
      <c r="M72" s="6" t="s">
        <v>438</v>
      </c>
      <c r="N72" s="148">
        <f>+G72</f>
        <v>46138</v>
      </c>
      <c r="O72" s="157"/>
      <c r="P72" s="208"/>
      <c r="Q72" s="18" t="s">
        <v>76</v>
      </c>
      <c r="R72" s="18">
        <f>+I72*0.9</f>
        <v>517020.89400000003</v>
      </c>
      <c r="S72" s="3">
        <v>7.6999999999999999E-2</v>
      </c>
      <c r="T72" s="145">
        <f>+J72-K72+20</f>
        <v>59</v>
      </c>
      <c r="U72" s="4">
        <f>ROUND(+R72*S72*T72/365,0)</f>
        <v>6435</v>
      </c>
      <c r="V72" s="4">
        <f>+R72-U72</f>
        <v>510585.89400000003</v>
      </c>
      <c r="W72" s="17"/>
      <c r="X72" s="6"/>
      <c r="Y72" s="94"/>
      <c r="Z72" s="94"/>
      <c r="AA72" s="20"/>
      <c r="AB72" s="19"/>
      <c r="AC72" s="165" cm="1">
        <f t="array" ref="AC72">_xlfn.IFS(D72="INDUSTOWER","275000000",D72="RELIANCEIN","220000000",D72="SIEMENSLTD","83330000")-I72</f>
        <v>274425532.33999997</v>
      </c>
    </row>
    <row r="73" spans="1:29" x14ac:dyDescent="0.25">
      <c r="A73" s="1">
        <v>9</v>
      </c>
      <c r="B73" s="1">
        <f>SUBTOTAL(3,C$3:C73)</f>
        <v>71</v>
      </c>
      <c r="C73" s="6" t="s">
        <v>93</v>
      </c>
      <c r="D73" s="30" t="s">
        <v>27</v>
      </c>
      <c r="E73" s="30" t="s">
        <v>7</v>
      </c>
      <c r="F73" s="54" t="s">
        <v>436</v>
      </c>
      <c r="G73" s="146">
        <v>46138</v>
      </c>
      <c r="H73" s="2" t="s">
        <v>6</v>
      </c>
      <c r="I73" s="89">
        <v>574467.66</v>
      </c>
      <c r="J73" s="149" cm="1">
        <f t="array" ref="J73">_xlfn.IFS(D73="INDUSTOWER","40",D73="RELIANCEIN","44",D73="SIEMENSLTD","120",D73="CLEANMAX","40",D73="AVAADA","40",D73="ARCHTECH","40")+G73</f>
        <v>46178</v>
      </c>
      <c r="K73" s="150">
        <v>46139</v>
      </c>
      <c r="L73" s="149">
        <f>+J73+20</f>
        <v>46198</v>
      </c>
      <c r="M73" s="6" t="s">
        <v>439</v>
      </c>
      <c r="N73" s="148">
        <f>+G73</f>
        <v>46138</v>
      </c>
      <c r="O73" s="157"/>
      <c r="P73" s="208"/>
      <c r="Q73" s="18" t="s">
        <v>76</v>
      </c>
      <c r="R73" s="18">
        <f>+I73*0.9</f>
        <v>517020.89400000003</v>
      </c>
      <c r="S73" s="3">
        <v>7.6999999999999999E-2</v>
      </c>
      <c r="T73" s="145">
        <f>+J73-K73+20</f>
        <v>59</v>
      </c>
      <c r="U73" s="4">
        <f>ROUND(+R73*S73*T73/365,0)</f>
        <v>6435</v>
      </c>
      <c r="V73" s="4">
        <f>+R73-U73</f>
        <v>510585.89400000003</v>
      </c>
      <c r="W73" s="17"/>
      <c r="X73" s="6"/>
      <c r="Y73" s="94"/>
      <c r="Z73" s="94"/>
      <c r="AA73" s="20"/>
      <c r="AB73" s="19"/>
      <c r="AC73" s="165" cm="1">
        <f t="array" ref="AC73">_xlfn.IFS(D73="INDUSTOWER","275000000",D73="RELIANCEIN","220000000",D73="SIEMENSLTD","83330000")-I73</f>
        <v>274425532.33999997</v>
      </c>
    </row>
    <row r="74" spans="1:29" x14ac:dyDescent="0.25">
      <c r="A74" s="1">
        <v>0</v>
      </c>
      <c r="B74" s="1">
        <f>SUBTOTAL(3,C$3:C74)</f>
        <v>72</v>
      </c>
      <c r="C74" s="6" t="s">
        <v>93</v>
      </c>
      <c r="D74" s="30" t="s">
        <v>24</v>
      </c>
      <c r="E74" s="30" t="s">
        <v>7</v>
      </c>
      <c r="F74" s="54" t="s">
        <v>137</v>
      </c>
      <c r="G74" s="146">
        <v>46093</v>
      </c>
      <c r="H74" s="2" t="s">
        <v>6</v>
      </c>
      <c r="I74" s="89">
        <v>764307.41</v>
      </c>
      <c r="J74" s="149" cm="1">
        <f t="array" ref="J74">_xlfn.IFS(D74="INDUSTOWER","40",D74="RELIANCEIN","44",D74="SIEMENSLTD","120",D74="CLEANMAX","40",D74="AVAADA","40",D74="ARCHTECH","40")+G74</f>
        <v>46137</v>
      </c>
      <c r="K74" s="150">
        <v>46135</v>
      </c>
      <c r="L74" s="149">
        <f t="shared" ref="L74:L90" si="12">+J74+20</f>
        <v>46157</v>
      </c>
      <c r="M74" s="6"/>
      <c r="N74" s="148">
        <f t="shared" ref="N74:N90" si="13">+G74</f>
        <v>46093</v>
      </c>
      <c r="O74" s="157"/>
      <c r="P74" s="208"/>
      <c r="Q74" s="18"/>
      <c r="R74" s="18">
        <f t="shared" ref="R74:R90" si="14">+I74*0.9</f>
        <v>687876.66899999999</v>
      </c>
      <c r="S74" s="3">
        <v>7.6999999999999999E-2</v>
      </c>
      <c r="T74" s="145">
        <f t="shared" ref="T74:T90" si="15">+J74-K74+20</f>
        <v>22</v>
      </c>
      <c r="U74" s="4">
        <f t="shared" ref="U74:U90" si="16">ROUND(+R74*S74*T74/365,0)</f>
        <v>3193</v>
      </c>
      <c r="V74" s="4">
        <f t="shared" ref="V74:V90" si="17">+R74-U74</f>
        <v>684683.66899999999</v>
      </c>
      <c r="W74" s="17"/>
      <c r="X74" s="6"/>
      <c r="Y74" s="94"/>
      <c r="Z74" s="94"/>
      <c r="AA74" s="20"/>
      <c r="AB74" s="19"/>
      <c r="AC74" s="165" cm="1">
        <f t="array" ref="AC74">_xlfn.IFS(D74="INDUSTOWER","275000000",D74="RELIANCEIN","220000000",D74="SIEMENSLTD","83330000")-I74</f>
        <v>219235692.59</v>
      </c>
    </row>
    <row r="75" spans="1:29" x14ac:dyDescent="0.25">
      <c r="A75" s="1">
        <v>1</v>
      </c>
      <c r="B75" s="1">
        <f>SUBTOTAL(3,C$3:C75)</f>
        <v>73</v>
      </c>
      <c r="C75" s="6" t="s">
        <v>93</v>
      </c>
      <c r="D75" s="30" t="s">
        <v>24</v>
      </c>
      <c r="E75" s="30" t="s">
        <v>7</v>
      </c>
      <c r="F75" s="54" t="s">
        <v>181</v>
      </c>
      <c r="G75" s="146">
        <v>46128</v>
      </c>
      <c r="H75" s="2" t="s">
        <v>6</v>
      </c>
      <c r="I75" s="89">
        <v>822460</v>
      </c>
      <c r="J75" s="149" cm="1">
        <f t="array" ref="J75">_xlfn.IFS(D75="INDUSTOWER","40",D75="RELIANCEIN","44",D75="SIEMENSLTD","120",D75="CLEANMAX","40",D75="AVAADA","40",D75="ARCHTECH","40")+G75</f>
        <v>46172</v>
      </c>
      <c r="K75" s="150">
        <v>46132</v>
      </c>
      <c r="L75" s="149">
        <f t="shared" si="12"/>
        <v>46192</v>
      </c>
      <c r="M75" s="6">
        <v>2000146043</v>
      </c>
      <c r="N75" s="148">
        <f t="shared" si="13"/>
        <v>46128</v>
      </c>
      <c r="O75" s="157"/>
      <c r="P75" s="208"/>
      <c r="Q75" s="18" t="s">
        <v>196</v>
      </c>
      <c r="R75" s="18">
        <f t="shared" si="14"/>
        <v>740214</v>
      </c>
      <c r="S75" s="3">
        <v>7.6999999999999999E-2</v>
      </c>
      <c r="T75" s="145">
        <f t="shared" si="15"/>
        <v>60</v>
      </c>
      <c r="U75" s="4">
        <f t="shared" si="16"/>
        <v>9369</v>
      </c>
      <c r="V75" s="4">
        <f t="shared" si="17"/>
        <v>730845</v>
      </c>
      <c r="W75" s="17"/>
      <c r="X75" s="6"/>
      <c r="Y75" s="94"/>
      <c r="Z75" s="94"/>
      <c r="AA75" s="20"/>
      <c r="AB75" s="19"/>
      <c r="AC75" s="165" cm="1">
        <f t="array" ref="AC75">_xlfn.IFS(D75="INDUSTOWER","275000000",D75="RELIANCEIN","220000000",D75="SIEMENSLTD","83330000")-I75</f>
        <v>219177540</v>
      </c>
    </row>
    <row r="76" spans="1:29" x14ac:dyDescent="0.25">
      <c r="A76" s="1">
        <v>1</v>
      </c>
      <c r="B76" s="1">
        <f>SUBTOTAL(3,C$3:C76)</f>
        <v>74</v>
      </c>
      <c r="C76" s="6" t="s">
        <v>93</v>
      </c>
      <c r="D76" s="30" t="s">
        <v>24</v>
      </c>
      <c r="E76" s="30" t="s">
        <v>7</v>
      </c>
      <c r="F76" s="54" t="s">
        <v>182</v>
      </c>
      <c r="G76" s="146">
        <v>46131</v>
      </c>
      <c r="H76" s="2" t="s">
        <v>6</v>
      </c>
      <c r="I76" s="89">
        <v>822460</v>
      </c>
      <c r="J76" s="149" cm="1">
        <f t="array" ref="J76">_xlfn.IFS(D76="INDUSTOWER","40",D76="RELIANCEIN","44",D76="SIEMENSLTD","120",D76="CLEANMAX","40",D76="AVAADA","40",D76="ARCHTECH","40")+G76</f>
        <v>46175</v>
      </c>
      <c r="K76" s="150">
        <v>46132</v>
      </c>
      <c r="L76" s="149">
        <f t="shared" si="12"/>
        <v>46195</v>
      </c>
      <c r="M76" s="6">
        <v>2000146110</v>
      </c>
      <c r="N76" s="148">
        <f t="shared" si="13"/>
        <v>46131</v>
      </c>
      <c r="O76" s="157"/>
      <c r="P76" s="208"/>
      <c r="Q76" s="18" t="s">
        <v>196</v>
      </c>
      <c r="R76" s="18">
        <f t="shared" si="14"/>
        <v>740214</v>
      </c>
      <c r="S76" s="3">
        <v>7.6999999999999999E-2</v>
      </c>
      <c r="T76" s="145">
        <f t="shared" si="15"/>
        <v>63</v>
      </c>
      <c r="U76" s="4">
        <f t="shared" si="16"/>
        <v>9838</v>
      </c>
      <c r="V76" s="4">
        <f t="shared" si="17"/>
        <v>730376</v>
      </c>
      <c r="W76" s="17"/>
      <c r="X76" s="6"/>
      <c r="Y76" s="94"/>
      <c r="Z76" s="94"/>
      <c r="AA76" s="20"/>
      <c r="AB76" s="19"/>
      <c r="AC76" s="165" cm="1">
        <f t="array" ref="AC76">_xlfn.IFS(D76="INDUSTOWER","275000000",D76="RELIANCEIN","220000000",D76="SIEMENSLTD","83330000")-I76</f>
        <v>219177540</v>
      </c>
    </row>
    <row r="77" spans="1:29" x14ac:dyDescent="0.25">
      <c r="A77" s="1">
        <v>2</v>
      </c>
      <c r="B77" s="1">
        <f>SUBTOTAL(3,C$3:C77)</f>
        <v>75</v>
      </c>
      <c r="C77" s="6" t="s">
        <v>93</v>
      </c>
      <c r="D77" s="30" t="s">
        <v>24</v>
      </c>
      <c r="E77" s="30" t="s">
        <v>7</v>
      </c>
      <c r="F77" s="54" t="s">
        <v>197</v>
      </c>
      <c r="G77" s="146">
        <v>46132</v>
      </c>
      <c r="H77" s="2" t="s">
        <v>6</v>
      </c>
      <c r="I77" s="89">
        <v>766484.34</v>
      </c>
      <c r="J77" s="149" cm="1">
        <f t="array" ref="J77">_xlfn.IFS(D77="INDUSTOWER","40",D77="RELIANCEIN","44",D77="SIEMENSLTD","120",D77="CLEANMAX","40",D77="AVAADA","40",D77="ARCHTECH","40")+G77</f>
        <v>46176</v>
      </c>
      <c r="K77" s="150">
        <v>46135</v>
      </c>
      <c r="L77" s="149">
        <f t="shared" si="12"/>
        <v>46196</v>
      </c>
      <c r="M77" s="6">
        <v>2000146126</v>
      </c>
      <c r="N77" s="148">
        <f t="shared" si="13"/>
        <v>46132</v>
      </c>
      <c r="O77" s="157"/>
      <c r="P77" s="208"/>
      <c r="Q77" s="18" t="s">
        <v>198</v>
      </c>
      <c r="R77" s="18">
        <f t="shared" si="14"/>
        <v>689835.90599999996</v>
      </c>
      <c r="S77" s="3">
        <v>7.6999999999999999E-2</v>
      </c>
      <c r="T77" s="145">
        <f t="shared" si="15"/>
        <v>61</v>
      </c>
      <c r="U77" s="4">
        <f t="shared" si="16"/>
        <v>8877</v>
      </c>
      <c r="V77" s="4">
        <f t="shared" si="17"/>
        <v>680958.90599999996</v>
      </c>
      <c r="W77" s="17"/>
      <c r="X77" s="6"/>
      <c r="Y77" s="94"/>
      <c r="Z77" s="94"/>
      <c r="AA77" s="20"/>
      <c r="AB77" s="19"/>
      <c r="AC77" s="165" cm="1">
        <f t="array" ref="AC77">_xlfn.IFS(D77="INDUSTOWER","275000000",D77="RELIANCEIN","220000000",D77="SIEMENSLTD","83330000")-I77</f>
        <v>219233515.66</v>
      </c>
    </row>
    <row r="78" spans="1:29" x14ac:dyDescent="0.25">
      <c r="A78" s="1">
        <v>2</v>
      </c>
      <c r="B78" s="1">
        <f>SUBTOTAL(3,C$3:C78)</f>
        <v>76</v>
      </c>
      <c r="C78" s="6" t="s">
        <v>93</v>
      </c>
      <c r="D78" s="30" t="s">
        <v>24</v>
      </c>
      <c r="E78" s="30" t="s">
        <v>7</v>
      </c>
      <c r="F78" s="54" t="s">
        <v>199</v>
      </c>
      <c r="G78" s="146">
        <v>46132</v>
      </c>
      <c r="H78" s="2" t="s">
        <v>6</v>
      </c>
      <c r="I78" s="89">
        <v>766484.34</v>
      </c>
      <c r="J78" s="149" cm="1">
        <f t="array" ref="J78">_xlfn.IFS(D78="INDUSTOWER","40",D78="RELIANCEIN","44",D78="SIEMENSLTD","120",D78="CLEANMAX","40",D78="AVAADA","40",D78="ARCHTECH","40")+G78</f>
        <v>46176</v>
      </c>
      <c r="K78" s="150">
        <v>46135</v>
      </c>
      <c r="L78" s="149">
        <f t="shared" si="12"/>
        <v>46196</v>
      </c>
      <c r="M78" s="6">
        <v>2000146129</v>
      </c>
      <c r="N78" s="148">
        <f t="shared" si="13"/>
        <v>46132</v>
      </c>
      <c r="O78" s="157"/>
      <c r="P78" s="208"/>
      <c r="Q78" s="18" t="s">
        <v>198</v>
      </c>
      <c r="R78" s="18">
        <f t="shared" si="14"/>
        <v>689835.90599999996</v>
      </c>
      <c r="S78" s="3">
        <v>7.6999999999999999E-2</v>
      </c>
      <c r="T78" s="145">
        <f t="shared" si="15"/>
        <v>61</v>
      </c>
      <c r="U78" s="4">
        <f t="shared" si="16"/>
        <v>8877</v>
      </c>
      <c r="V78" s="4">
        <f t="shared" si="17"/>
        <v>680958.90599999996</v>
      </c>
      <c r="W78" s="17"/>
      <c r="X78" s="6"/>
      <c r="Y78" s="94"/>
      <c r="Z78" s="94"/>
      <c r="AA78" s="20"/>
      <c r="AB78" s="19"/>
      <c r="AC78" s="165" cm="1">
        <f t="array" ref="AC78">_xlfn.IFS(D78="INDUSTOWER","275000000",D78="RELIANCEIN","220000000",D78="SIEMENSLTD","83330000")-I78</f>
        <v>219233515.66</v>
      </c>
    </row>
    <row r="79" spans="1:29" x14ac:dyDescent="0.25">
      <c r="A79" s="1">
        <v>2</v>
      </c>
      <c r="B79" s="1">
        <f>SUBTOTAL(3,C$3:C79)</f>
        <v>77</v>
      </c>
      <c r="C79" s="6" t="s">
        <v>93</v>
      </c>
      <c r="D79" s="30" t="s">
        <v>24</v>
      </c>
      <c r="E79" s="30" t="s">
        <v>7</v>
      </c>
      <c r="F79" s="54" t="s">
        <v>200</v>
      </c>
      <c r="G79" s="146">
        <v>46132</v>
      </c>
      <c r="H79" s="2" t="s">
        <v>6</v>
      </c>
      <c r="I79" s="89">
        <v>766484.34</v>
      </c>
      <c r="J79" s="149" cm="1">
        <f t="array" ref="J79">_xlfn.IFS(D79="INDUSTOWER","40",D79="RELIANCEIN","44",D79="SIEMENSLTD","120",D79="CLEANMAX","40",D79="AVAADA","40",D79="ARCHTECH","40")+G79</f>
        <v>46176</v>
      </c>
      <c r="K79" s="150">
        <v>46135</v>
      </c>
      <c r="L79" s="149">
        <f t="shared" si="12"/>
        <v>46196</v>
      </c>
      <c r="M79" s="6">
        <v>2000146130</v>
      </c>
      <c r="N79" s="148">
        <f t="shared" si="13"/>
        <v>46132</v>
      </c>
      <c r="O79" s="157"/>
      <c r="P79" s="208"/>
      <c r="Q79" s="18" t="s">
        <v>198</v>
      </c>
      <c r="R79" s="18">
        <f t="shared" si="14"/>
        <v>689835.90599999996</v>
      </c>
      <c r="S79" s="3">
        <v>7.6999999999999999E-2</v>
      </c>
      <c r="T79" s="145">
        <f t="shared" si="15"/>
        <v>61</v>
      </c>
      <c r="U79" s="4">
        <f t="shared" si="16"/>
        <v>8877</v>
      </c>
      <c r="V79" s="4">
        <f t="shared" si="17"/>
        <v>680958.90599999996</v>
      </c>
      <c r="W79" s="17"/>
      <c r="X79" s="6"/>
      <c r="Y79" s="94"/>
      <c r="Z79" s="94"/>
      <c r="AA79" s="20"/>
      <c r="AB79" s="19"/>
      <c r="AC79" s="165" cm="1">
        <f t="array" ref="AC79">_xlfn.IFS(D79="INDUSTOWER","275000000",D79="RELIANCEIN","220000000",D79="SIEMENSLTD","83330000")-I79</f>
        <v>219233515.66</v>
      </c>
    </row>
    <row r="80" spans="1:29" x14ac:dyDescent="0.25">
      <c r="A80" s="1">
        <v>2</v>
      </c>
      <c r="B80" s="1">
        <f>SUBTOTAL(3,C$3:C80)</f>
        <v>78</v>
      </c>
      <c r="C80" s="6" t="s">
        <v>93</v>
      </c>
      <c r="D80" s="30" t="s">
        <v>24</v>
      </c>
      <c r="E80" s="30" t="s">
        <v>7</v>
      </c>
      <c r="F80" s="54" t="s">
        <v>201</v>
      </c>
      <c r="G80" s="146">
        <v>46132</v>
      </c>
      <c r="H80" s="2" t="s">
        <v>6</v>
      </c>
      <c r="I80" s="89">
        <v>766484.34</v>
      </c>
      <c r="J80" s="149" cm="1">
        <f t="array" ref="J80">_xlfn.IFS(D80="INDUSTOWER","40",D80="RELIANCEIN","44",D80="SIEMENSLTD","120",D80="CLEANMAX","40",D80="AVAADA","40",D80="ARCHTECH","40")+G80</f>
        <v>46176</v>
      </c>
      <c r="K80" s="150">
        <v>46135</v>
      </c>
      <c r="L80" s="149">
        <f t="shared" si="12"/>
        <v>46196</v>
      </c>
      <c r="M80" s="6">
        <v>2000146128</v>
      </c>
      <c r="N80" s="148">
        <f t="shared" si="13"/>
        <v>46132</v>
      </c>
      <c r="O80" s="157"/>
      <c r="P80" s="208"/>
      <c r="Q80" s="18" t="s">
        <v>198</v>
      </c>
      <c r="R80" s="18">
        <f t="shared" si="14"/>
        <v>689835.90599999996</v>
      </c>
      <c r="S80" s="3">
        <v>7.6999999999999999E-2</v>
      </c>
      <c r="T80" s="145">
        <f t="shared" si="15"/>
        <v>61</v>
      </c>
      <c r="U80" s="4">
        <f t="shared" si="16"/>
        <v>8877</v>
      </c>
      <c r="V80" s="4">
        <f t="shared" si="17"/>
        <v>680958.90599999996</v>
      </c>
      <c r="W80" s="17"/>
      <c r="X80" s="6"/>
      <c r="Y80" s="94"/>
      <c r="Z80" s="94"/>
      <c r="AA80" s="20"/>
      <c r="AB80" s="19"/>
      <c r="AC80" s="165" cm="1">
        <f t="array" ref="AC80">_xlfn.IFS(D80="INDUSTOWER","275000000",D80="RELIANCEIN","220000000",D80="SIEMENSLTD","83330000")-I80</f>
        <v>219233515.66</v>
      </c>
    </row>
    <row r="81" spans="1:29" x14ac:dyDescent="0.25">
      <c r="A81" s="1">
        <v>2</v>
      </c>
      <c r="B81" s="1">
        <f>SUBTOTAL(3,C$3:C81)</f>
        <v>79</v>
      </c>
      <c r="C81" s="6" t="s">
        <v>93</v>
      </c>
      <c r="D81" s="30" t="s">
        <v>24</v>
      </c>
      <c r="E81" s="30" t="s">
        <v>7</v>
      </c>
      <c r="F81" s="54" t="s">
        <v>202</v>
      </c>
      <c r="G81" s="146">
        <v>46133</v>
      </c>
      <c r="H81" s="2" t="s">
        <v>6</v>
      </c>
      <c r="I81" s="89">
        <v>822460</v>
      </c>
      <c r="J81" s="149" cm="1">
        <f t="array" ref="J81">_xlfn.IFS(D81="INDUSTOWER","40",D81="RELIANCEIN","44",D81="SIEMENSLTD","120",D81="CLEANMAX","40",D81="AVAADA","40",D81="ARCHTECH","40")+G81</f>
        <v>46177</v>
      </c>
      <c r="K81" s="150">
        <v>46135</v>
      </c>
      <c r="L81" s="149">
        <f t="shared" si="12"/>
        <v>46197</v>
      </c>
      <c r="M81" s="6">
        <v>2000146147</v>
      </c>
      <c r="N81" s="148">
        <f t="shared" si="13"/>
        <v>46133</v>
      </c>
      <c r="O81" s="157"/>
      <c r="P81" s="208"/>
      <c r="Q81" s="18" t="s">
        <v>196</v>
      </c>
      <c r="R81" s="18">
        <f t="shared" si="14"/>
        <v>740214</v>
      </c>
      <c r="S81" s="3">
        <v>7.6999999999999999E-2</v>
      </c>
      <c r="T81" s="145">
        <f t="shared" si="15"/>
        <v>62</v>
      </c>
      <c r="U81" s="4">
        <f t="shared" si="16"/>
        <v>9682</v>
      </c>
      <c r="V81" s="4">
        <f t="shared" si="17"/>
        <v>730532</v>
      </c>
      <c r="W81" s="17"/>
      <c r="X81" s="6"/>
      <c r="Y81" s="94"/>
      <c r="Z81" s="94"/>
      <c r="AA81" s="20"/>
      <c r="AB81" s="19"/>
      <c r="AC81" s="165" cm="1">
        <f t="array" ref="AC81">_xlfn.IFS(D81="INDUSTOWER","275000000",D81="RELIANCEIN","220000000",D81="SIEMENSLTD","83330000")-I81</f>
        <v>219177540</v>
      </c>
    </row>
    <row r="82" spans="1:29" x14ac:dyDescent="0.25">
      <c r="A82" s="1">
        <v>2</v>
      </c>
      <c r="B82" s="1">
        <f>SUBTOTAL(3,C$3:C82)</f>
        <v>80</v>
      </c>
      <c r="C82" s="6" t="s">
        <v>93</v>
      </c>
      <c r="D82" s="30" t="s">
        <v>24</v>
      </c>
      <c r="E82" s="30" t="s">
        <v>7</v>
      </c>
      <c r="F82" s="54" t="s">
        <v>203</v>
      </c>
      <c r="G82" s="146">
        <v>46133</v>
      </c>
      <c r="H82" s="2" t="s">
        <v>6</v>
      </c>
      <c r="I82" s="89">
        <v>822460</v>
      </c>
      <c r="J82" s="149" cm="1">
        <f t="array" ref="J82">_xlfn.IFS(D82="INDUSTOWER","40",D82="RELIANCEIN","44",D82="SIEMENSLTD","120",D82="CLEANMAX","40",D82="AVAADA","40",D82="ARCHTECH","40")+G82</f>
        <v>46177</v>
      </c>
      <c r="K82" s="150">
        <v>46135</v>
      </c>
      <c r="L82" s="149">
        <f t="shared" si="12"/>
        <v>46197</v>
      </c>
      <c r="M82" s="6">
        <v>2000146148</v>
      </c>
      <c r="N82" s="148">
        <f t="shared" si="13"/>
        <v>46133</v>
      </c>
      <c r="O82" s="157"/>
      <c r="P82" s="208"/>
      <c r="Q82" s="18" t="s">
        <v>196</v>
      </c>
      <c r="R82" s="18">
        <f t="shared" si="14"/>
        <v>740214</v>
      </c>
      <c r="S82" s="3">
        <v>7.6999999999999999E-2</v>
      </c>
      <c r="T82" s="145">
        <f t="shared" si="15"/>
        <v>62</v>
      </c>
      <c r="U82" s="4">
        <f t="shared" si="16"/>
        <v>9682</v>
      </c>
      <c r="V82" s="4">
        <f t="shared" si="17"/>
        <v>730532</v>
      </c>
      <c r="W82" s="17"/>
      <c r="X82" s="6"/>
      <c r="Y82" s="94"/>
      <c r="Z82" s="94"/>
      <c r="AA82" s="20"/>
      <c r="AB82" s="19"/>
      <c r="AC82" s="165" cm="1">
        <f t="array" ref="AC82">_xlfn.IFS(D82="INDUSTOWER","275000000",D82="RELIANCEIN","220000000",D82="SIEMENSLTD","83330000")-I82</f>
        <v>219177540</v>
      </c>
    </row>
    <row r="83" spans="1:29" x14ac:dyDescent="0.25">
      <c r="A83" s="1">
        <v>3</v>
      </c>
      <c r="B83" s="1">
        <f>SUBTOTAL(3,C$3:C83)</f>
        <v>81</v>
      </c>
      <c r="C83" s="6" t="s">
        <v>93</v>
      </c>
      <c r="D83" s="30" t="s">
        <v>24</v>
      </c>
      <c r="E83" s="30" t="s">
        <v>7</v>
      </c>
      <c r="F83" s="54" t="s">
        <v>204</v>
      </c>
      <c r="G83" s="146">
        <v>46134</v>
      </c>
      <c r="H83" s="2" t="s">
        <v>6</v>
      </c>
      <c r="I83" s="89">
        <v>1069198</v>
      </c>
      <c r="J83" s="149" cm="1">
        <f t="array" ref="J83">_xlfn.IFS(D83="INDUSTOWER","40",D83="RELIANCEIN","44",D83="SIEMENSLTD","120",D83="CLEANMAX","40",D83="AVAADA","40",D83="ARCHTECH","40")+G83</f>
        <v>46178</v>
      </c>
      <c r="K83" s="150">
        <v>46135</v>
      </c>
      <c r="L83" s="149">
        <f t="shared" si="12"/>
        <v>46198</v>
      </c>
      <c r="M83" s="6">
        <v>2000146151</v>
      </c>
      <c r="N83" s="148">
        <f t="shared" si="13"/>
        <v>46134</v>
      </c>
      <c r="O83" s="157"/>
      <c r="P83" s="208"/>
      <c r="Q83" s="18" t="s">
        <v>198</v>
      </c>
      <c r="R83" s="18">
        <f t="shared" si="14"/>
        <v>962278.20000000007</v>
      </c>
      <c r="S83" s="3">
        <v>7.6999999999999999E-2</v>
      </c>
      <c r="T83" s="145">
        <f t="shared" si="15"/>
        <v>63</v>
      </c>
      <c r="U83" s="4">
        <f t="shared" si="16"/>
        <v>12789</v>
      </c>
      <c r="V83" s="4">
        <f t="shared" si="17"/>
        <v>949489.20000000007</v>
      </c>
      <c r="W83" s="17"/>
      <c r="X83" s="6"/>
      <c r="Y83" s="94"/>
      <c r="Z83" s="94"/>
      <c r="AA83" s="20"/>
      <c r="AB83" s="19"/>
      <c r="AC83" s="165" cm="1">
        <f t="array" ref="AC83">_xlfn.IFS(D83="INDUSTOWER","275000000",D83="RELIANCEIN","220000000",D83="SIEMENSLTD","83330000")-I83</f>
        <v>218930802</v>
      </c>
    </row>
    <row r="84" spans="1:29" x14ac:dyDescent="0.25">
      <c r="A84" s="1">
        <v>4</v>
      </c>
      <c r="B84" s="1">
        <f>SUBTOTAL(3,C$3:C84)</f>
        <v>82</v>
      </c>
      <c r="C84" s="6" t="s">
        <v>93</v>
      </c>
      <c r="D84" s="30" t="s">
        <v>24</v>
      </c>
      <c r="E84" s="30" t="s">
        <v>7</v>
      </c>
      <c r="F84" s="54" t="s">
        <v>350</v>
      </c>
      <c r="G84" s="146">
        <v>46135</v>
      </c>
      <c r="H84" s="2" t="s">
        <v>6</v>
      </c>
      <c r="I84" s="89">
        <v>916860</v>
      </c>
      <c r="J84" s="149" cm="1">
        <f t="array" ref="J84">_xlfn.IFS(D84="INDUSTOWER","40",D84="RELIANCEIN","44",D84="SIEMENSLTD","120",D84="CLEANMAX","40",D84="AVAADA","40",D84="ARCHTECH","40")+G84</f>
        <v>46179</v>
      </c>
      <c r="K84" s="150">
        <v>46135</v>
      </c>
      <c r="L84" s="149">
        <f t="shared" si="12"/>
        <v>46199</v>
      </c>
      <c r="M84" s="6" t="s">
        <v>355</v>
      </c>
      <c r="N84" s="148">
        <f t="shared" si="13"/>
        <v>46135</v>
      </c>
      <c r="O84" s="157"/>
      <c r="P84" s="208"/>
      <c r="Q84" s="18" t="s">
        <v>128</v>
      </c>
      <c r="R84" s="18">
        <f t="shared" si="14"/>
        <v>825174</v>
      </c>
      <c r="S84" s="3">
        <v>7.6999999999999999E-2</v>
      </c>
      <c r="T84" s="145">
        <f t="shared" si="15"/>
        <v>64</v>
      </c>
      <c r="U84" s="4">
        <f t="shared" si="16"/>
        <v>11141</v>
      </c>
      <c r="V84" s="4">
        <f t="shared" si="17"/>
        <v>814033</v>
      </c>
      <c r="W84" s="17"/>
      <c r="X84" s="6"/>
      <c r="Y84" s="94"/>
      <c r="Z84" s="94"/>
      <c r="AA84" s="20"/>
      <c r="AB84" s="19"/>
      <c r="AC84" s="165" cm="1">
        <f t="array" ref="AC84">_xlfn.IFS(D84="INDUSTOWER","275000000",D84="RELIANCEIN","220000000",D84="SIEMENSLTD","83330000")-I84</f>
        <v>219083140</v>
      </c>
    </row>
    <row r="85" spans="1:29" x14ac:dyDescent="0.25">
      <c r="A85" s="1">
        <v>4</v>
      </c>
      <c r="B85" s="1">
        <f>SUBTOTAL(3,C$3:C85)</f>
        <v>83</v>
      </c>
      <c r="C85" s="6" t="s">
        <v>93</v>
      </c>
      <c r="D85" s="30" t="s">
        <v>24</v>
      </c>
      <c r="E85" s="30" t="s">
        <v>7</v>
      </c>
      <c r="F85" s="54" t="s">
        <v>351</v>
      </c>
      <c r="G85" s="146">
        <v>46135</v>
      </c>
      <c r="H85" s="2" t="s">
        <v>6</v>
      </c>
      <c r="I85" s="89">
        <v>848001.1</v>
      </c>
      <c r="J85" s="149" cm="1">
        <f t="array" ref="J85">_xlfn.IFS(D85="INDUSTOWER","40",D85="RELIANCEIN","44",D85="SIEMENSLTD","120",D85="CLEANMAX","40",D85="AVAADA","40",D85="ARCHTECH","40")+G85</f>
        <v>46179</v>
      </c>
      <c r="K85" s="150">
        <v>46135</v>
      </c>
      <c r="L85" s="149">
        <f t="shared" si="12"/>
        <v>46199</v>
      </c>
      <c r="M85" s="6" t="s">
        <v>356</v>
      </c>
      <c r="N85" s="148">
        <f t="shared" si="13"/>
        <v>46135</v>
      </c>
      <c r="O85" s="157"/>
      <c r="P85" s="208"/>
      <c r="Q85" s="18" t="s">
        <v>360</v>
      </c>
      <c r="R85" s="18">
        <f t="shared" si="14"/>
        <v>763200.99</v>
      </c>
      <c r="S85" s="3">
        <v>7.6999999999999999E-2</v>
      </c>
      <c r="T85" s="145">
        <f t="shared" si="15"/>
        <v>64</v>
      </c>
      <c r="U85" s="4">
        <f t="shared" si="16"/>
        <v>10304</v>
      </c>
      <c r="V85" s="4">
        <f t="shared" si="17"/>
        <v>752896.99</v>
      </c>
      <c r="W85" s="17"/>
      <c r="X85" s="6"/>
      <c r="Y85" s="94"/>
      <c r="Z85" s="94"/>
      <c r="AA85" s="20"/>
      <c r="AB85" s="19"/>
      <c r="AC85" s="165" cm="1">
        <f t="array" ref="AC85">_xlfn.IFS(D85="INDUSTOWER","275000000",D85="RELIANCEIN","220000000",D85="SIEMENSLTD","83330000")-I85</f>
        <v>219151998.90000001</v>
      </c>
    </row>
    <row r="86" spans="1:29" x14ac:dyDescent="0.25">
      <c r="A86" s="1">
        <v>4</v>
      </c>
      <c r="B86" s="1">
        <f>SUBTOTAL(3,C$3:C86)</f>
        <v>84</v>
      </c>
      <c r="C86" s="6" t="s">
        <v>93</v>
      </c>
      <c r="D86" s="30" t="s">
        <v>24</v>
      </c>
      <c r="E86" s="30" t="s">
        <v>7</v>
      </c>
      <c r="F86" s="54" t="s">
        <v>352</v>
      </c>
      <c r="G86" s="146">
        <v>46135</v>
      </c>
      <c r="H86" s="2" t="s">
        <v>6</v>
      </c>
      <c r="I86" s="89">
        <v>766484.34</v>
      </c>
      <c r="J86" s="149" cm="1">
        <f t="array" ref="J86">_xlfn.IFS(D86="INDUSTOWER","40",D86="RELIANCEIN","44",D86="SIEMENSLTD","120",D86="CLEANMAX","40",D86="AVAADA","40",D86="ARCHTECH","40")+G86</f>
        <v>46179</v>
      </c>
      <c r="K86" s="150">
        <v>46135</v>
      </c>
      <c r="L86" s="149">
        <f t="shared" si="12"/>
        <v>46199</v>
      </c>
      <c r="M86" s="6" t="s">
        <v>357</v>
      </c>
      <c r="N86" s="148">
        <f t="shared" si="13"/>
        <v>46135</v>
      </c>
      <c r="O86" s="157"/>
      <c r="P86" s="208"/>
      <c r="Q86" s="18" t="s">
        <v>198</v>
      </c>
      <c r="R86" s="18">
        <f t="shared" si="14"/>
        <v>689835.90599999996</v>
      </c>
      <c r="S86" s="3">
        <v>7.6999999999999999E-2</v>
      </c>
      <c r="T86" s="145">
        <f t="shared" si="15"/>
        <v>64</v>
      </c>
      <c r="U86" s="4">
        <f t="shared" si="16"/>
        <v>9314</v>
      </c>
      <c r="V86" s="4">
        <f t="shared" si="17"/>
        <v>680521.90599999996</v>
      </c>
      <c r="W86" s="17"/>
      <c r="X86" s="6"/>
      <c r="Y86" s="94"/>
      <c r="Z86" s="94"/>
      <c r="AA86" s="20"/>
      <c r="AB86" s="19"/>
      <c r="AC86" s="165" cm="1">
        <f t="array" ref="AC86">_xlfn.IFS(D86="INDUSTOWER","275000000",D86="RELIANCEIN","220000000",D86="SIEMENSLTD","83330000")-I86</f>
        <v>219233515.66</v>
      </c>
    </row>
    <row r="87" spans="1:29" x14ac:dyDescent="0.25">
      <c r="A87" s="1">
        <v>4</v>
      </c>
      <c r="B87" s="1">
        <f>SUBTOTAL(3,C$3:C87)</f>
        <v>85</v>
      </c>
      <c r="C87" s="6" t="s">
        <v>93</v>
      </c>
      <c r="D87" s="30" t="s">
        <v>24</v>
      </c>
      <c r="E87" s="30" t="s">
        <v>7</v>
      </c>
      <c r="F87" s="54" t="s">
        <v>353</v>
      </c>
      <c r="G87" s="146">
        <v>46135</v>
      </c>
      <c r="H87" s="2" t="s">
        <v>6</v>
      </c>
      <c r="I87" s="89">
        <v>766484.34</v>
      </c>
      <c r="J87" s="149" cm="1">
        <f t="array" ref="J87">_xlfn.IFS(D87="INDUSTOWER","40",D87="RELIANCEIN","44",D87="SIEMENSLTD","120",D87="CLEANMAX","40",D87="AVAADA","40",D87="ARCHTECH","40")+G87</f>
        <v>46179</v>
      </c>
      <c r="K87" s="150">
        <v>46135</v>
      </c>
      <c r="L87" s="149">
        <f t="shared" si="12"/>
        <v>46199</v>
      </c>
      <c r="M87" s="6" t="s">
        <v>358</v>
      </c>
      <c r="N87" s="148">
        <f t="shared" si="13"/>
        <v>46135</v>
      </c>
      <c r="O87" s="157"/>
      <c r="P87" s="208"/>
      <c r="Q87" s="18" t="s">
        <v>198</v>
      </c>
      <c r="R87" s="18">
        <f t="shared" si="14"/>
        <v>689835.90599999996</v>
      </c>
      <c r="S87" s="3">
        <v>7.6999999999999999E-2</v>
      </c>
      <c r="T87" s="145">
        <f t="shared" si="15"/>
        <v>64</v>
      </c>
      <c r="U87" s="4">
        <f t="shared" si="16"/>
        <v>9314</v>
      </c>
      <c r="V87" s="4">
        <f t="shared" si="17"/>
        <v>680521.90599999996</v>
      </c>
      <c r="W87" s="17"/>
      <c r="X87" s="6"/>
      <c r="Y87" s="94"/>
      <c r="Z87" s="94"/>
      <c r="AA87" s="20"/>
      <c r="AB87" s="19"/>
      <c r="AC87" s="165" cm="1">
        <f t="array" ref="AC87">_xlfn.IFS(D87="INDUSTOWER","275000000",D87="RELIANCEIN","220000000",D87="SIEMENSLTD","83330000")-I87</f>
        <v>219233515.66</v>
      </c>
    </row>
    <row r="88" spans="1:29" x14ac:dyDescent="0.25">
      <c r="A88" s="1">
        <v>4</v>
      </c>
      <c r="B88" s="1">
        <f>SUBTOTAL(3,C$3:C88)</f>
        <v>86</v>
      </c>
      <c r="C88" s="6" t="s">
        <v>93</v>
      </c>
      <c r="D88" s="30" t="s">
        <v>24</v>
      </c>
      <c r="E88" s="30" t="s">
        <v>7</v>
      </c>
      <c r="F88" s="54" t="s">
        <v>354</v>
      </c>
      <c r="G88" s="146">
        <v>46135</v>
      </c>
      <c r="H88" s="2" t="s">
        <v>6</v>
      </c>
      <c r="I88" s="89">
        <v>766484.34</v>
      </c>
      <c r="J88" s="149" cm="1">
        <f t="array" ref="J88">_xlfn.IFS(D88="INDUSTOWER","40",D88="RELIANCEIN","44",D88="SIEMENSLTD","120",D88="CLEANMAX","40",D88="AVAADA","40",D88="ARCHTECH","40")+G88</f>
        <v>46179</v>
      </c>
      <c r="K88" s="150">
        <v>46135</v>
      </c>
      <c r="L88" s="149">
        <f t="shared" si="12"/>
        <v>46199</v>
      </c>
      <c r="M88" s="6" t="s">
        <v>359</v>
      </c>
      <c r="N88" s="148">
        <f t="shared" si="13"/>
        <v>46135</v>
      </c>
      <c r="O88" s="157"/>
      <c r="P88" s="208"/>
      <c r="Q88" s="18" t="s">
        <v>198</v>
      </c>
      <c r="R88" s="18">
        <f t="shared" si="14"/>
        <v>689835.90599999996</v>
      </c>
      <c r="S88" s="3">
        <v>7.6999999999999999E-2</v>
      </c>
      <c r="T88" s="145">
        <f t="shared" si="15"/>
        <v>64</v>
      </c>
      <c r="U88" s="4">
        <f t="shared" si="16"/>
        <v>9314</v>
      </c>
      <c r="V88" s="4">
        <f t="shared" si="17"/>
        <v>680521.90599999996</v>
      </c>
      <c r="W88" s="17"/>
      <c r="X88" s="6"/>
      <c r="Y88" s="94"/>
      <c r="Z88" s="94"/>
      <c r="AA88" s="20"/>
      <c r="AB88" s="19"/>
      <c r="AC88" s="165" cm="1">
        <f t="array" ref="AC88">_xlfn.IFS(D88="INDUSTOWER","275000000",D88="RELIANCEIN","220000000",D88="SIEMENSLTD","83330000")-I88</f>
        <v>219233515.66</v>
      </c>
    </row>
    <row r="89" spans="1:29" x14ac:dyDescent="0.25">
      <c r="A89" s="158">
        <v>5</v>
      </c>
      <c r="B89" s="51">
        <f>SUBTOTAL(3,C$3:C89)</f>
        <v>87</v>
      </c>
      <c r="C89" s="6" t="s">
        <v>93</v>
      </c>
      <c r="D89" s="30" t="s">
        <v>24</v>
      </c>
      <c r="E89" s="30" t="s">
        <v>7</v>
      </c>
      <c r="F89" s="211" t="s">
        <v>429</v>
      </c>
      <c r="G89" s="212">
        <v>46136</v>
      </c>
      <c r="H89" s="2" t="s">
        <v>6</v>
      </c>
      <c r="I89" s="89">
        <v>766484.34</v>
      </c>
      <c r="J89" s="151" cm="1">
        <f t="array" ref="J89">_xlfn.IFS(D89="INDUSTOWER","40",D89="RELIANCEIN","44",D89="SIEMENSLTD","120",D89="CLEANMAX","40",D89="AVAADA","40",D89="ARCHTECH","40")+G89</f>
        <v>46180</v>
      </c>
      <c r="K89" s="215">
        <v>46136</v>
      </c>
      <c r="L89" s="161">
        <f t="shared" si="12"/>
        <v>46200</v>
      </c>
      <c r="M89" s="209" t="s">
        <v>431</v>
      </c>
      <c r="N89" s="216">
        <f t="shared" si="13"/>
        <v>46136</v>
      </c>
      <c r="O89" s="157"/>
      <c r="P89" s="208"/>
      <c r="Q89" s="84" t="s">
        <v>198</v>
      </c>
      <c r="R89" s="84">
        <f t="shared" si="14"/>
        <v>689835.90599999996</v>
      </c>
      <c r="S89" s="3">
        <v>7.6999999999999999E-2</v>
      </c>
      <c r="T89" s="162">
        <f t="shared" si="15"/>
        <v>64</v>
      </c>
      <c r="U89" s="85">
        <f t="shared" si="16"/>
        <v>9314</v>
      </c>
      <c r="V89" s="85">
        <f t="shared" si="17"/>
        <v>680521.90599999996</v>
      </c>
      <c r="W89" s="217"/>
      <c r="X89" s="209"/>
      <c r="Y89" s="218"/>
      <c r="Z89" s="218"/>
      <c r="AA89" s="219"/>
      <c r="AB89" s="220"/>
      <c r="AC89" s="221" cm="1">
        <f t="array" ref="AC89">_xlfn.IFS(D89="INDUSTOWER","275000000",D89="RELIANCEIN","220000000",D89="SIEMENSLTD","83330000")-I89</f>
        <v>219233515.66</v>
      </c>
    </row>
    <row r="90" spans="1:29" x14ac:dyDescent="0.25">
      <c r="A90" s="158">
        <v>5</v>
      </c>
      <c r="B90" s="51">
        <f>SUBTOTAL(3,C$3:C90)</f>
        <v>88</v>
      </c>
      <c r="C90" s="6" t="s">
        <v>93</v>
      </c>
      <c r="D90" s="30" t="s">
        <v>24</v>
      </c>
      <c r="E90" s="30" t="s">
        <v>7</v>
      </c>
      <c r="F90" s="211" t="s">
        <v>430</v>
      </c>
      <c r="G90" s="212">
        <v>46136</v>
      </c>
      <c r="H90" s="2" t="s">
        <v>6</v>
      </c>
      <c r="I90" s="89">
        <v>766484.34</v>
      </c>
      <c r="J90" s="151" cm="1">
        <f t="array" ref="J90">_xlfn.IFS(D90="INDUSTOWER","40",D90="RELIANCEIN","44",D90="SIEMENSLTD","120",D90="CLEANMAX","40",D90="AVAADA","40",D90="ARCHTECH","40")+G90</f>
        <v>46180</v>
      </c>
      <c r="K90" s="215">
        <v>46136</v>
      </c>
      <c r="L90" s="161">
        <f t="shared" si="12"/>
        <v>46200</v>
      </c>
      <c r="M90" s="209" t="s">
        <v>432</v>
      </c>
      <c r="N90" s="216">
        <f t="shared" si="13"/>
        <v>46136</v>
      </c>
      <c r="O90" s="157"/>
      <c r="P90" s="208"/>
      <c r="Q90" s="84" t="s">
        <v>198</v>
      </c>
      <c r="R90" s="84">
        <f t="shared" si="14"/>
        <v>689835.90599999996</v>
      </c>
      <c r="S90" s="3">
        <v>7.6999999999999999E-2</v>
      </c>
      <c r="T90" s="162">
        <f t="shared" si="15"/>
        <v>64</v>
      </c>
      <c r="U90" s="85">
        <f t="shared" si="16"/>
        <v>9314</v>
      </c>
      <c r="V90" s="85">
        <f t="shared" si="17"/>
        <v>680521.90599999996</v>
      </c>
      <c r="W90" s="217"/>
      <c r="X90" s="209"/>
      <c r="Y90" s="218"/>
      <c r="Z90" s="218"/>
      <c r="AA90" s="219"/>
      <c r="AB90" s="220"/>
      <c r="AC90" s="221" cm="1">
        <f t="array" ref="AC90">_xlfn.IFS(D90="INDUSTOWER","275000000",D90="RELIANCEIN","220000000",D90="SIEMENSLTD","83330000")-I90</f>
        <v>219233515.66</v>
      </c>
    </row>
    <row r="91" spans="1:29" x14ac:dyDescent="0.25">
      <c r="A91" s="158">
        <v>6</v>
      </c>
      <c r="B91" s="51">
        <f>SUBTOTAL(3,C$3:C91)</f>
        <v>89</v>
      </c>
      <c r="C91" s="6" t="s">
        <v>93</v>
      </c>
      <c r="D91" s="30" t="s">
        <v>24</v>
      </c>
      <c r="E91" s="30" t="s">
        <v>7</v>
      </c>
      <c r="F91" s="211" t="s">
        <v>440</v>
      </c>
      <c r="G91" s="212">
        <v>46136</v>
      </c>
      <c r="H91" s="2" t="s">
        <v>6</v>
      </c>
      <c r="I91" s="214">
        <v>1151810.98</v>
      </c>
      <c r="J91" s="151" cm="1">
        <f t="array" ref="J91">_xlfn.IFS(D91="INDUSTOWER","40",D91="RELIANCEIN","44",D91="SIEMENSLTD","120",D91="CLEANMAX","40",D91="AVAADA","40",D91="ARCHTECH","40")+G91</f>
        <v>46180</v>
      </c>
      <c r="K91" s="215">
        <v>46139</v>
      </c>
      <c r="L91" s="161">
        <f>+J91+20</f>
        <v>46200</v>
      </c>
      <c r="M91" s="209" t="s">
        <v>442</v>
      </c>
      <c r="N91" s="216">
        <f>+G91</f>
        <v>46136</v>
      </c>
      <c r="O91" s="157"/>
      <c r="P91" s="208"/>
      <c r="Q91" s="84" t="s">
        <v>26</v>
      </c>
      <c r="R91" s="84">
        <f>+I91*0.9</f>
        <v>1036629.882</v>
      </c>
      <c r="S91" s="3">
        <v>7.6999999999999999E-2</v>
      </c>
      <c r="T91" s="162">
        <f>+J91-K91+20</f>
        <v>61</v>
      </c>
      <c r="U91" s="85">
        <f>ROUND(+R91*S91*T91/365,0)</f>
        <v>13340</v>
      </c>
      <c r="V91" s="85">
        <f>+R91-U91</f>
        <v>1023289.882</v>
      </c>
      <c r="W91" s="217"/>
      <c r="X91" s="209"/>
      <c r="Y91" s="218"/>
      <c r="Z91" s="218"/>
      <c r="AA91" s="219"/>
      <c r="AB91" s="220"/>
      <c r="AC91" s="221" cm="1">
        <f t="array" ref="AC91">_xlfn.IFS(D91="INDUSTOWER","275000000",D91="RELIANCEIN","220000000",D91="SIEMENSLTD","83330000")-I91</f>
        <v>218848189.02000001</v>
      </c>
    </row>
    <row r="92" spans="1:29" x14ac:dyDescent="0.25">
      <c r="A92" s="158">
        <v>6</v>
      </c>
      <c r="B92" s="51">
        <f>SUBTOTAL(3,C$3:C92)</f>
        <v>90</v>
      </c>
      <c r="C92" s="6" t="s">
        <v>93</v>
      </c>
      <c r="D92" s="30" t="s">
        <v>24</v>
      </c>
      <c r="E92" s="30" t="s">
        <v>7</v>
      </c>
      <c r="F92" s="211" t="s">
        <v>441</v>
      </c>
      <c r="G92" s="212">
        <v>46138</v>
      </c>
      <c r="H92" s="2" t="s">
        <v>6</v>
      </c>
      <c r="I92" s="214">
        <v>766484.34</v>
      </c>
      <c r="J92" s="151" cm="1">
        <f t="array" ref="J92">_xlfn.IFS(D92="INDUSTOWER","40",D92="RELIANCEIN","44",D92="SIEMENSLTD","120",D92="CLEANMAX","40",D92="AVAADA","40",D92="ARCHTECH","40")+G92</f>
        <v>46182</v>
      </c>
      <c r="K92" s="215">
        <v>46139</v>
      </c>
      <c r="L92" s="161">
        <f>+J92+20</f>
        <v>46202</v>
      </c>
      <c r="M92" s="209" t="s">
        <v>443</v>
      </c>
      <c r="N92" s="216">
        <f>+G92</f>
        <v>46138</v>
      </c>
      <c r="O92" s="157"/>
      <c r="P92" s="208"/>
      <c r="Q92" s="84" t="s">
        <v>198</v>
      </c>
      <c r="R92" s="84">
        <f>+I92*0.9</f>
        <v>689835.90599999996</v>
      </c>
      <c r="S92" s="3">
        <v>7.6999999999999999E-2</v>
      </c>
      <c r="T92" s="162">
        <f>+J92-K92+20</f>
        <v>63</v>
      </c>
      <c r="U92" s="85">
        <f>ROUND(+R92*S92*T92/365,0)</f>
        <v>9168</v>
      </c>
      <c r="V92" s="85">
        <f>+R92-U92</f>
        <v>680667.90599999996</v>
      </c>
      <c r="W92" s="217"/>
      <c r="X92" s="209"/>
      <c r="Y92" s="218"/>
      <c r="Z92" s="218"/>
      <c r="AA92" s="219"/>
      <c r="AB92" s="220"/>
      <c r="AC92" s="221" cm="1">
        <f t="array" ref="AC92">_xlfn.IFS(D92="INDUSTOWER","275000000",D92="RELIANCEIN","220000000",D92="SIEMENSLTD","83330000")-I92</f>
        <v>219233515.66</v>
      </c>
    </row>
    <row r="93" spans="1:29" x14ac:dyDescent="0.25">
      <c r="A93" s="158">
        <f>SUBTOTAL(3,B$3:B93)</f>
        <v>0</v>
      </c>
      <c r="B93" s="51">
        <f>SUBTOTAL(3,C$3:C93)</f>
        <v>91</v>
      </c>
      <c r="C93" s="209" t="s">
        <v>93</v>
      </c>
      <c r="D93" s="210" t="s">
        <v>96</v>
      </c>
      <c r="E93" s="210" t="s">
        <v>7</v>
      </c>
      <c r="F93" s="211" t="s">
        <v>130</v>
      </c>
      <c r="G93" s="212">
        <v>46020</v>
      </c>
      <c r="H93" s="213" t="s">
        <v>6</v>
      </c>
      <c r="I93" s="214">
        <v>17142711.34</v>
      </c>
      <c r="J93" s="151" cm="1">
        <f t="array" ref="J93">_xlfn.IFS(D93="INDUSTOWER","40",D93="RELIANCEIN","44",D93="SIEMENSLTD","120",D93="CLEANMAX","40",D93="AVAADA","40",D93="ARCHTECH","40")+G93</f>
        <v>46140</v>
      </c>
      <c r="K93" s="215">
        <v>46062</v>
      </c>
      <c r="L93" s="161">
        <f t="shared" ref="L93:L115" si="18">+J93+20</f>
        <v>46160</v>
      </c>
      <c r="M93" s="209"/>
      <c r="N93" s="216">
        <f t="shared" ref="N93:N115" si="19">+G93</f>
        <v>46020</v>
      </c>
      <c r="O93" s="157"/>
      <c r="P93" s="156"/>
      <c r="Q93" s="84"/>
      <c r="R93" s="84">
        <f t="shared" ref="R93:R154" si="20">+I93*0.9</f>
        <v>15428440.206</v>
      </c>
      <c r="S93" s="3">
        <v>7.6999999999999999E-2</v>
      </c>
      <c r="T93" s="162">
        <f t="shared" ref="T93:T110" si="21">+J93-K93+20</f>
        <v>98</v>
      </c>
      <c r="U93" s="85">
        <f t="shared" ref="U93:U110" si="22">ROUND(+R93*S93*T93/365,0)</f>
        <v>318967</v>
      </c>
      <c r="V93" s="85">
        <f t="shared" ref="V93:V110" si="23">+R93-U93</f>
        <v>15109473.206</v>
      </c>
      <c r="W93" s="217"/>
      <c r="X93" s="209"/>
      <c r="Y93" s="218"/>
      <c r="Z93" s="218"/>
      <c r="AA93" s="219"/>
      <c r="AB93" s="220"/>
      <c r="AC93" s="221" cm="1">
        <f t="array" ref="AC93">_xlfn.IFS(D93="INDUSTOWER","275000000",D93="RELIANCEIN","220000000",D93="SIEMENSLTD","83330000")-I93</f>
        <v>66187288.659999996</v>
      </c>
    </row>
    <row r="94" spans="1:29" x14ac:dyDescent="0.25">
      <c r="A94" s="158">
        <f>SUBTOTAL(3,B$3:B94)</f>
        <v>0</v>
      </c>
      <c r="B94" s="1">
        <f>SUBTOTAL(3,C$3:C94)</f>
        <v>92</v>
      </c>
      <c r="C94" s="83" t="s">
        <v>93</v>
      </c>
      <c r="D94" s="49" t="s">
        <v>96</v>
      </c>
      <c r="E94" s="49" t="s">
        <v>7</v>
      </c>
      <c r="F94" s="90" t="s">
        <v>131</v>
      </c>
      <c r="G94" s="159">
        <v>46037</v>
      </c>
      <c r="H94" s="34" t="s">
        <v>6</v>
      </c>
      <c r="I94" s="91">
        <v>40214</v>
      </c>
      <c r="J94" s="149" cm="1">
        <f t="array" ref="J94">_xlfn.IFS(D94="INDUSTOWER","40",D94="RELIANCEIN","44",D94="SIEMENSLTD","120",D94="CLEANMAX","40",D94="AVAADA","40",D94="ARCHTECH","40")+G94</f>
        <v>46157</v>
      </c>
      <c r="K94" s="160">
        <v>46062</v>
      </c>
      <c r="L94" s="161">
        <f t="shared" si="18"/>
        <v>46177</v>
      </c>
      <c r="M94" s="83"/>
      <c r="N94" s="157">
        <f t="shared" si="19"/>
        <v>46037</v>
      </c>
      <c r="O94" s="157"/>
      <c r="P94" s="156"/>
      <c r="Q94" s="84"/>
      <c r="R94" s="84">
        <f t="shared" si="20"/>
        <v>36192.6</v>
      </c>
      <c r="S94" s="92">
        <v>7.6999999999999999E-2</v>
      </c>
      <c r="T94" s="162">
        <f t="shared" si="21"/>
        <v>115</v>
      </c>
      <c r="U94" s="93">
        <f t="shared" si="22"/>
        <v>878</v>
      </c>
      <c r="V94" s="85">
        <f t="shared" si="23"/>
        <v>35314.6</v>
      </c>
      <c r="W94" s="86"/>
      <c r="X94" s="83"/>
      <c r="Y94" s="163"/>
      <c r="Z94" s="163"/>
      <c r="AA94" s="88"/>
      <c r="AB94" s="87"/>
      <c r="AC94" s="165" cm="1">
        <f t="array" ref="AC94">_xlfn.IFS(D94="INDUSTOWER","275000000",D94="RELIANCEIN","220000000",D94="SIEMENSLTD","83330000")-I94</f>
        <v>83289786</v>
      </c>
    </row>
    <row r="95" spans="1:29" x14ac:dyDescent="0.25">
      <c r="A95" s="158">
        <f>SUBTOTAL(3,B$3:B95)</f>
        <v>0</v>
      </c>
      <c r="B95" s="1">
        <f>SUBTOTAL(3,C$3:C95)</f>
        <v>93</v>
      </c>
      <c r="C95" s="83" t="s">
        <v>93</v>
      </c>
      <c r="D95" s="49" t="s">
        <v>96</v>
      </c>
      <c r="E95" s="49" t="s">
        <v>7</v>
      </c>
      <c r="F95" s="90" t="s">
        <v>132</v>
      </c>
      <c r="G95" s="159">
        <v>46043</v>
      </c>
      <c r="H95" s="34" t="s">
        <v>6</v>
      </c>
      <c r="I95" s="91">
        <v>10602</v>
      </c>
      <c r="J95" s="149" cm="1">
        <f t="array" ref="J95">_xlfn.IFS(D95="INDUSTOWER","40",D95="RELIANCEIN","44",D95="SIEMENSLTD","120",D95="CLEANMAX","40",D95="AVAADA","40",D95="ARCHTECH","40")+G95</f>
        <v>46163</v>
      </c>
      <c r="K95" s="160">
        <v>46062</v>
      </c>
      <c r="L95" s="161">
        <f t="shared" si="18"/>
        <v>46183</v>
      </c>
      <c r="M95" s="83"/>
      <c r="N95" s="157">
        <f t="shared" si="19"/>
        <v>46043</v>
      </c>
      <c r="O95" s="157"/>
      <c r="P95" s="156"/>
      <c r="Q95" s="84"/>
      <c r="R95" s="84">
        <f t="shared" si="20"/>
        <v>9541.8000000000011</v>
      </c>
      <c r="S95" s="92">
        <v>7.6999999999999999E-2</v>
      </c>
      <c r="T95" s="162">
        <f t="shared" si="21"/>
        <v>121</v>
      </c>
      <c r="U95" s="93">
        <f t="shared" si="22"/>
        <v>244</v>
      </c>
      <c r="V95" s="85">
        <f t="shared" si="23"/>
        <v>9297.8000000000011</v>
      </c>
      <c r="W95" s="86"/>
      <c r="X95" s="83"/>
      <c r="Y95" s="163"/>
      <c r="Z95" s="163"/>
      <c r="AA95" s="88"/>
      <c r="AB95" s="87"/>
      <c r="AC95" s="165" cm="1">
        <f t="array" ref="AC95">_xlfn.IFS(D95="INDUSTOWER","275000000",D95="RELIANCEIN","220000000",D95="SIEMENSLTD","83330000")-I95</f>
        <v>83319398</v>
      </c>
    </row>
    <row r="96" spans="1:29" x14ac:dyDescent="0.25">
      <c r="A96" s="158">
        <f>SUBTOTAL(3,B$3:B96)</f>
        <v>0</v>
      </c>
      <c r="B96" s="1">
        <f>SUBTOTAL(3,C$3:C96)</f>
        <v>94</v>
      </c>
      <c r="C96" s="83" t="s">
        <v>93</v>
      </c>
      <c r="D96" s="49" t="s">
        <v>96</v>
      </c>
      <c r="E96" s="49" t="s">
        <v>7</v>
      </c>
      <c r="F96" s="90" t="s">
        <v>133</v>
      </c>
      <c r="G96" s="159">
        <v>46046</v>
      </c>
      <c r="H96" s="34" t="s">
        <v>6</v>
      </c>
      <c r="I96" s="91">
        <v>4838730</v>
      </c>
      <c r="J96" s="149" cm="1">
        <f t="array" ref="J96">_xlfn.IFS(D96="INDUSTOWER","40",D96="RELIANCEIN","44",D96="SIEMENSLTD","120",D96="CLEANMAX","40",D96="AVAADA","40",D96="ARCHTECH","40")+G96</f>
        <v>46166</v>
      </c>
      <c r="K96" s="160">
        <v>46062</v>
      </c>
      <c r="L96" s="161">
        <f t="shared" si="18"/>
        <v>46186</v>
      </c>
      <c r="M96" s="83"/>
      <c r="N96" s="157">
        <f t="shared" si="19"/>
        <v>46046</v>
      </c>
      <c r="O96" s="157"/>
      <c r="P96" s="156"/>
      <c r="Q96" s="84"/>
      <c r="R96" s="84">
        <f t="shared" si="20"/>
        <v>4354857</v>
      </c>
      <c r="S96" s="92">
        <v>7.6999999999999999E-2</v>
      </c>
      <c r="T96" s="162">
        <f t="shared" si="21"/>
        <v>124</v>
      </c>
      <c r="U96" s="93">
        <f t="shared" si="22"/>
        <v>113918</v>
      </c>
      <c r="V96" s="85">
        <f t="shared" si="23"/>
        <v>4240939</v>
      </c>
      <c r="W96" s="86"/>
      <c r="X96" s="83"/>
      <c r="Y96" s="163"/>
      <c r="Z96" s="163"/>
      <c r="AA96" s="88"/>
      <c r="AB96" s="87"/>
      <c r="AC96" s="165" cm="1">
        <f t="array" ref="AC96">_xlfn.IFS(D96="INDUSTOWER","275000000",D96="RELIANCEIN","220000000",D96="SIEMENSLTD","83330000")-I96</f>
        <v>78491270</v>
      </c>
    </row>
    <row r="97" spans="1:30" x14ac:dyDescent="0.25">
      <c r="A97" s="158">
        <f>SUBTOTAL(3,B$3:B97)</f>
        <v>0</v>
      </c>
      <c r="B97" s="1">
        <f>SUBTOTAL(3,C$3:C97)</f>
        <v>95</v>
      </c>
      <c r="C97" s="83" t="s">
        <v>93</v>
      </c>
      <c r="D97" s="49" t="s">
        <v>96</v>
      </c>
      <c r="E97" s="49" t="s">
        <v>7</v>
      </c>
      <c r="F97" s="90" t="s">
        <v>134</v>
      </c>
      <c r="G97" s="159">
        <v>46072</v>
      </c>
      <c r="H97" s="34" t="s">
        <v>6</v>
      </c>
      <c r="I97" s="91">
        <v>84594.2</v>
      </c>
      <c r="J97" s="149" cm="1">
        <f t="array" ref="J97">_xlfn.IFS(D97="INDUSTOWER","40",D97="RELIANCEIN","44",D97="SIEMENSLTD","120",D97="CLEANMAX","40",D97="AVAADA","40",D97="ARCHTECH","40")+G97</f>
        <v>46192</v>
      </c>
      <c r="K97" s="160">
        <v>46129</v>
      </c>
      <c r="L97" s="161">
        <f t="shared" si="18"/>
        <v>46212</v>
      </c>
      <c r="M97" s="83"/>
      <c r="N97" s="157">
        <f t="shared" si="19"/>
        <v>46072</v>
      </c>
      <c r="O97" s="157"/>
      <c r="P97" s="156"/>
      <c r="Q97" s="84"/>
      <c r="R97" s="84">
        <f t="shared" si="20"/>
        <v>76134.78</v>
      </c>
      <c r="S97" s="92">
        <v>7.6999999999999999E-2</v>
      </c>
      <c r="T97" s="162">
        <f t="shared" si="21"/>
        <v>83</v>
      </c>
      <c r="U97" s="93">
        <f t="shared" si="22"/>
        <v>1333</v>
      </c>
      <c r="V97" s="85">
        <f t="shared" si="23"/>
        <v>74801.78</v>
      </c>
      <c r="W97" s="86"/>
      <c r="X97" s="83"/>
      <c r="Y97" s="163"/>
      <c r="Z97" s="163"/>
      <c r="AA97" s="88"/>
      <c r="AB97" s="87"/>
      <c r="AC97" s="165" cm="1">
        <f t="array" ref="AC97">_xlfn.IFS(D97="INDUSTOWER","275000000",D97="RELIANCEIN","220000000",D97="SIEMENSLTD","83330000")-I97</f>
        <v>83245405.799999997</v>
      </c>
    </row>
    <row r="98" spans="1:30" x14ac:dyDescent="0.25">
      <c r="A98" s="158">
        <f>SUBTOTAL(3,B$3:B98)</f>
        <v>0</v>
      </c>
      <c r="B98" s="1">
        <f>SUBTOTAL(3,C$3:C98)</f>
        <v>96</v>
      </c>
      <c r="C98" s="83" t="s">
        <v>93</v>
      </c>
      <c r="D98" s="49" t="s">
        <v>96</v>
      </c>
      <c r="E98" s="49" t="s">
        <v>7</v>
      </c>
      <c r="F98" s="90" t="s">
        <v>135</v>
      </c>
      <c r="G98" s="159">
        <v>46072</v>
      </c>
      <c r="H98" s="34" t="s">
        <v>6</v>
      </c>
      <c r="I98" s="91">
        <v>92346.8</v>
      </c>
      <c r="J98" s="149" cm="1">
        <f t="array" ref="J98">_xlfn.IFS(D98="INDUSTOWER","40",D98="RELIANCEIN","44",D98="SIEMENSLTD","120",D98="CLEANMAX","40",D98="AVAADA","40",D98="ARCHTECH","40")+G98</f>
        <v>46192</v>
      </c>
      <c r="K98" s="160">
        <v>46129</v>
      </c>
      <c r="L98" s="161">
        <f t="shared" si="18"/>
        <v>46212</v>
      </c>
      <c r="M98" s="83"/>
      <c r="N98" s="157">
        <f t="shared" si="19"/>
        <v>46072</v>
      </c>
      <c r="O98" s="157"/>
      <c r="P98" s="156"/>
      <c r="Q98" s="84"/>
      <c r="R98" s="84">
        <f t="shared" si="20"/>
        <v>83112.12000000001</v>
      </c>
      <c r="S98" s="92">
        <v>7.6999999999999999E-2</v>
      </c>
      <c r="T98" s="162">
        <f t="shared" si="21"/>
        <v>83</v>
      </c>
      <c r="U98" s="93">
        <f t="shared" si="22"/>
        <v>1455</v>
      </c>
      <c r="V98" s="85">
        <f t="shared" si="23"/>
        <v>81657.12000000001</v>
      </c>
      <c r="W98" s="86"/>
      <c r="X98" s="83"/>
      <c r="Y98" s="163"/>
      <c r="Z98" s="163"/>
      <c r="AA98" s="88"/>
      <c r="AB98" s="87"/>
      <c r="AC98" s="165" cm="1">
        <f t="array" ref="AC98">_xlfn.IFS(D98="INDUSTOWER","275000000",D98="RELIANCEIN","220000000",D98="SIEMENSLTD","83330000")-I98</f>
        <v>83237653.200000003</v>
      </c>
    </row>
    <row r="99" spans="1:30" x14ac:dyDescent="0.25">
      <c r="A99" s="158">
        <f>SUBTOTAL(3,B$3:B99)</f>
        <v>0</v>
      </c>
      <c r="B99" s="1">
        <f>SUBTOTAL(3,C$3:C99)</f>
        <v>97</v>
      </c>
      <c r="C99" s="83" t="s">
        <v>93</v>
      </c>
      <c r="D99" s="49" t="s">
        <v>96</v>
      </c>
      <c r="E99" s="49" t="s">
        <v>7</v>
      </c>
      <c r="F99" s="90" t="s">
        <v>136</v>
      </c>
      <c r="G99" s="159">
        <v>46073</v>
      </c>
      <c r="H99" s="34" t="s">
        <v>6</v>
      </c>
      <c r="I99" s="91">
        <v>8340.24</v>
      </c>
      <c r="J99" s="149" cm="1">
        <f t="array" ref="J99">_xlfn.IFS(D99="INDUSTOWER","40",D99="RELIANCEIN","44",D99="SIEMENSLTD","120",D99="CLEANMAX","40",D99="AVAADA","40",D99="ARCHTECH","40")+G99</f>
        <v>46193</v>
      </c>
      <c r="K99" s="160">
        <v>46129</v>
      </c>
      <c r="L99" s="161">
        <f t="shared" si="18"/>
        <v>46213</v>
      </c>
      <c r="M99" s="83"/>
      <c r="N99" s="157">
        <f t="shared" si="19"/>
        <v>46073</v>
      </c>
      <c r="O99" s="157"/>
      <c r="P99" s="156"/>
      <c r="Q99" s="84"/>
      <c r="R99" s="84">
        <f t="shared" si="20"/>
        <v>7506.2160000000003</v>
      </c>
      <c r="S99" s="92">
        <v>7.6999999999999999E-2</v>
      </c>
      <c r="T99" s="162">
        <f t="shared" si="21"/>
        <v>84</v>
      </c>
      <c r="U99" s="93">
        <f t="shared" si="22"/>
        <v>133</v>
      </c>
      <c r="V99" s="85">
        <f t="shared" si="23"/>
        <v>7373.2160000000003</v>
      </c>
      <c r="W99" s="86"/>
      <c r="X99" s="83"/>
      <c r="Y99" s="163"/>
      <c r="Z99" s="163"/>
      <c r="AA99" s="88"/>
      <c r="AB99" s="87"/>
      <c r="AC99" s="165" cm="1">
        <f t="array" ref="AC99">_xlfn.IFS(D99="INDUSTOWER","275000000",D99="RELIANCEIN","220000000",D99="SIEMENSLTD","83330000")-I99</f>
        <v>83321659.760000005</v>
      </c>
      <c r="AD99"/>
    </row>
    <row r="100" spans="1:30" x14ac:dyDescent="0.25">
      <c r="A100" s="158">
        <f>SUBTOTAL(3,B$3:B100)</f>
        <v>0</v>
      </c>
      <c r="B100" s="1">
        <f>SUBTOTAL(3,C$3:C100)</f>
        <v>98</v>
      </c>
      <c r="C100" s="83" t="s">
        <v>93</v>
      </c>
      <c r="D100" s="49" t="s">
        <v>96</v>
      </c>
      <c r="E100" s="49" t="s">
        <v>7</v>
      </c>
      <c r="F100" s="90" t="s">
        <v>339</v>
      </c>
      <c r="G100" s="159">
        <v>46077</v>
      </c>
      <c r="H100" s="34" t="s">
        <v>6</v>
      </c>
      <c r="I100" s="91">
        <v>1324019</v>
      </c>
      <c r="J100" s="149" cm="1">
        <f t="array" ref="J100">_xlfn.IFS(D100="INDUSTOWER","40",D100="RELIANCEIN","44",D100="SIEMENSLTD","120",D100="CLEANMAX","40",D100="AVAADA","40",D100="ARCHTECH","40")+G100</f>
        <v>46197</v>
      </c>
      <c r="K100" s="160">
        <v>46129</v>
      </c>
      <c r="L100" s="161">
        <f t="shared" si="18"/>
        <v>46217</v>
      </c>
      <c r="M100" s="83"/>
      <c r="N100" s="157">
        <f t="shared" si="19"/>
        <v>46077</v>
      </c>
      <c r="O100" s="157"/>
      <c r="P100" s="156"/>
      <c r="Q100" s="84"/>
      <c r="R100" s="84">
        <f t="shared" si="20"/>
        <v>1191617.1000000001</v>
      </c>
      <c r="S100" s="92">
        <v>7.6999999999999999E-2</v>
      </c>
      <c r="T100" s="162">
        <f t="shared" si="21"/>
        <v>88</v>
      </c>
      <c r="U100" s="93">
        <f t="shared" si="22"/>
        <v>22122</v>
      </c>
      <c r="V100" s="85">
        <f t="shared" si="23"/>
        <v>1169495.1000000001</v>
      </c>
      <c r="W100" s="86"/>
      <c r="X100" s="83"/>
      <c r="Y100" s="163"/>
      <c r="Z100" s="163"/>
      <c r="AA100" s="88"/>
      <c r="AB100" s="87"/>
      <c r="AC100" s="165" cm="1">
        <f t="array" ref="AC100">_xlfn.IFS(D100="INDUSTOWER","275000000",D100="RELIANCEIN","220000000",D100="SIEMENSLTD","83330000")-I100</f>
        <v>82005981</v>
      </c>
      <c r="AD100"/>
    </row>
    <row r="101" spans="1:30" x14ac:dyDescent="0.25">
      <c r="A101" s="158">
        <f>SUBTOTAL(3,B$3:B101)</f>
        <v>0</v>
      </c>
      <c r="B101" s="1">
        <f>SUBTOTAL(3,C$3:C101)</f>
        <v>99</v>
      </c>
      <c r="C101" s="83" t="s">
        <v>93</v>
      </c>
      <c r="D101" s="49" t="s">
        <v>96</v>
      </c>
      <c r="E101" s="49" t="s">
        <v>7</v>
      </c>
      <c r="F101" s="90" t="s">
        <v>340</v>
      </c>
      <c r="G101" s="159">
        <v>46091</v>
      </c>
      <c r="H101" s="34" t="s">
        <v>6</v>
      </c>
      <c r="I101" s="91">
        <v>548932.46</v>
      </c>
      <c r="J101" s="149" cm="1">
        <f t="array" ref="J101">_xlfn.IFS(D101="INDUSTOWER","40",D101="RELIANCEIN","44",D101="SIEMENSLTD","120",D101="CLEANMAX","40",D101="AVAADA","40",D101="ARCHTECH","40")+G101</f>
        <v>46211</v>
      </c>
      <c r="K101" s="160">
        <v>46129</v>
      </c>
      <c r="L101" s="161">
        <f t="shared" si="18"/>
        <v>46231</v>
      </c>
      <c r="M101" s="83"/>
      <c r="N101" s="157">
        <f t="shared" si="19"/>
        <v>46091</v>
      </c>
      <c r="O101" s="157"/>
      <c r="P101" s="156"/>
      <c r="Q101" s="84"/>
      <c r="R101" s="84">
        <f t="shared" si="20"/>
        <v>494039.21399999998</v>
      </c>
      <c r="S101" s="92">
        <v>7.6999999999999999E-2</v>
      </c>
      <c r="T101" s="162">
        <f t="shared" si="21"/>
        <v>102</v>
      </c>
      <c r="U101" s="93">
        <f t="shared" si="22"/>
        <v>10631</v>
      </c>
      <c r="V101" s="85">
        <f t="shared" si="23"/>
        <v>483408.21399999998</v>
      </c>
      <c r="W101" s="86"/>
      <c r="X101" s="83"/>
      <c r="Y101" s="163"/>
      <c r="Z101" s="163"/>
      <c r="AA101" s="88"/>
      <c r="AB101" s="87"/>
      <c r="AC101" s="165" cm="1">
        <f t="array" ref="AC101">_xlfn.IFS(D101="INDUSTOWER","275000000",D101="RELIANCEIN","220000000",D101="SIEMENSLTD","83330000")-I101</f>
        <v>82781067.540000007</v>
      </c>
      <c r="AD101"/>
    </row>
    <row r="102" spans="1:30" x14ac:dyDescent="0.25">
      <c r="A102" s="158">
        <f>SUBTOTAL(3,B$3:B102)</f>
        <v>0</v>
      </c>
      <c r="B102" s="1">
        <f>SUBTOTAL(3,C$3:C102)</f>
        <v>100</v>
      </c>
      <c r="C102" s="83" t="s">
        <v>93</v>
      </c>
      <c r="D102" s="49" t="s">
        <v>96</v>
      </c>
      <c r="E102" s="49" t="s">
        <v>7</v>
      </c>
      <c r="F102" s="90" t="s">
        <v>341</v>
      </c>
      <c r="G102" s="159">
        <v>46091</v>
      </c>
      <c r="H102" s="34" t="s">
        <v>6</v>
      </c>
      <c r="I102" s="91">
        <v>1132374.02</v>
      </c>
      <c r="J102" s="149" cm="1">
        <f t="array" ref="J102">_xlfn.IFS(D102="INDUSTOWER","40",D102="RELIANCEIN","44",D102="SIEMENSLTD","120",D102="CLEANMAX","40",D102="AVAADA","40",D102="ARCHTECH","40")+G102</f>
        <v>46211</v>
      </c>
      <c r="K102" s="160">
        <v>46129</v>
      </c>
      <c r="L102" s="161">
        <f t="shared" si="18"/>
        <v>46231</v>
      </c>
      <c r="M102" s="83"/>
      <c r="N102" s="157">
        <f t="shared" si="19"/>
        <v>46091</v>
      </c>
      <c r="O102" s="157"/>
      <c r="P102" s="156"/>
      <c r="Q102" s="84"/>
      <c r="R102" s="84">
        <f t="shared" si="20"/>
        <v>1019136.618</v>
      </c>
      <c r="S102" s="92">
        <v>7.6999999999999999E-2</v>
      </c>
      <c r="T102" s="162">
        <f t="shared" si="21"/>
        <v>102</v>
      </c>
      <c r="U102" s="93">
        <f t="shared" si="22"/>
        <v>21930</v>
      </c>
      <c r="V102" s="85">
        <f t="shared" si="23"/>
        <v>997206.61800000002</v>
      </c>
      <c r="W102" s="86"/>
      <c r="X102" s="83"/>
      <c r="Y102" s="163"/>
      <c r="Z102" s="163"/>
      <c r="AA102" s="88"/>
      <c r="AB102" s="87"/>
      <c r="AC102" s="165" cm="1">
        <f t="array" ref="AC102">_xlfn.IFS(D102="INDUSTOWER","275000000",D102="RELIANCEIN","220000000",D102="SIEMENSLTD","83330000")-I102</f>
        <v>82197625.980000004</v>
      </c>
      <c r="AD102"/>
    </row>
    <row r="103" spans="1:30" x14ac:dyDescent="0.25">
      <c r="A103" s="158">
        <f>SUBTOTAL(3,B$3:B103)</f>
        <v>0</v>
      </c>
      <c r="B103" s="1">
        <f>SUBTOTAL(3,C$3:C103)</f>
        <v>101</v>
      </c>
      <c r="C103" s="83" t="s">
        <v>93</v>
      </c>
      <c r="D103" s="49" t="s">
        <v>96</v>
      </c>
      <c r="E103" s="49" t="s">
        <v>7</v>
      </c>
      <c r="F103" s="90" t="s">
        <v>342</v>
      </c>
      <c r="G103" s="159">
        <v>46094</v>
      </c>
      <c r="H103" s="34" t="s">
        <v>6</v>
      </c>
      <c r="I103" s="91">
        <v>2100392.92</v>
      </c>
      <c r="J103" s="149" cm="1">
        <f t="array" ref="J103">_xlfn.IFS(D103="INDUSTOWER","40",D103="RELIANCEIN","44",D103="SIEMENSLTD","120",D103="CLEANMAX","40",D103="AVAADA","40",D103="ARCHTECH","40")+G103</f>
        <v>46214</v>
      </c>
      <c r="K103" s="160">
        <v>46129</v>
      </c>
      <c r="L103" s="161">
        <f t="shared" si="18"/>
        <v>46234</v>
      </c>
      <c r="M103" s="83"/>
      <c r="N103" s="157">
        <f t="shared" si="19"/>
        <v>46094</v>
      </c>
      <c r="O103" s="157"/>
      <c r="P103" s="156"/>
      <c r="Q103" s="84"/>
      <c r="R103" s="84">
        <f t="shared" si="20"/>
        <v>1890353.628</v>
      </c>
      <c r="S103" s="92">
        <v>7.6999999999999999E-2</v>
      </c>
      <c r="T103" s="162">
        <f t="shared" si="21"/>
        <v>105</v>
      </c>
      <c r="U103" s="93">
        <f t="shared" si="22"/>
        <v>41873</v>
      </c>
      <c r="V103" s="85">
        <f t="shared" si="23"/>
        <v>1848480.628</v>
      </c>
      <c r="W103" s="86"/>
      <c r="X103" s="83"/>
      <c r="Y103" s="163"/>
      <c r="Z103" s="163"/>
      <c r="AA103" s="88"/>
      <c r="AB103" s="87"/>
      <c r="AC103" s="165" cm="1">
        <f t="array" ref="AC103">_xlfn.IFS(D103="INDUSTOWER","275000000",D103="RELIANCEIN","220000000",D103="SIEMENSLTD","83330000")-I103</f>
        <v>81229607.079999998</v>
      </c>
      <c r="AD103"/>
    </row>
    <row r="104" spans="1:30" x14ac:dyDescent="0.25">
      <c r="A104" s="158">
        <f>SUBTOTAL(3,B$3:B104)</f>
        <v>0</v>
      </c>
      <c r="B104" s="1">
        <f>SUBTOTAL(3,C$3:C104)</f>
        <v>102</v>
      </c>
      <c r="C104" s="83" t="s">
        <v>93</v>
      </c>
      <c r="D104" s="49" t="s">
        <v>96</v>
      </c>
      <c r="E104" s="49" t="s">
        <v>7</v>
      </c>
      <c r="F104" s="90" t="s">
        <v>343</v>
      </c>
      <c r="G104" s="159">
        <v>46097</v>
      </c>
      <c r="H104" s="34" t="s">
        <v>6</v>
      </c>
      <c r="I104" s="91">
        <v>2956569.06</v>
      </c>
      <c r="J104" s="149" cm="1">
        <f t="array" ref="J104">_xlfn.IFS(D104="INDUSTOWER","40",D104="RELIANCEIN","44",D104="SIEMENSLTD","120",D104="CLEANMAX","40",D104="AVAADA","40",D104="ARCHTECH","40")+G104</f>
        <v>46217</v>
      </c>
      <c r="K104" s="160">
        <v>46129</v>
      </c>
      <c r="L104" s="161">
        <f t="shared" si="18"/>
        <v>46237</v>
      </c>
      <c r="M104" s="83"/>
      <c r="N104" s="157">
        <f t="shared" si="19"/>
        <v>46097</v>
      </c>
      <c r="O104" s="157"/>
      <c r="P104" s="156"/>
      <c r="Q104" s="84"/>
      <c r="R104" s="84">
        <f t="shared" si="20"/>
        <v>2660912.1540000001</v>
      </c>
      <c r="S104" s="92">
        <v>7.6999999999999999E-2</v>
      </c>
      <c r="T104" s="162">
        <f t="shared" si="21"/>
        <v>108</v>
      </c>
      <c r="U104" s="93">
        <f t="shared" si="22"/>
        <v>60625</v>
      </c>
      <c r="V104" s="85">
        <f t="shared" si="23"/>
        <v>2600287.1540000001</v>
      </c>
      <c r="W104" s="86"/>
      <c r="X104" s="83"/>
      <c r="Y104" s="163"/>
      <c r="Z104" s="163"/>
      <c r="AA104" s="88"/>
      <c r="AB104" s="87"/>
      <c r="AC104" s="165" cm="1">
        <f t="array" ref="AC104">_xlfn.IFS(D104="INDUSTOWER","275000000",D104="RELIANCEIN","220000000",D104="SIEMENSLTD","83330000")-I104</f>
        <v>80373430.939999998</v>
      </c>
      <c r="AD104"/>
    </row>
    <row r="105" spans="1:30" x14ac:dyDescent="0.25">
      <c r="A105" s="158">
        <f>SUBTOTAL(3,B$3:B105)</f>
        <v>0</v>
      </c>
      <c r="B105" s="1">
        <f>SUBTOTAL(3,C$3:C105)</f>
        <v>103</v>
      </c>
      <c r="C105" s="83" t="s">
        <v>93</v>
      </c>
      <c r="D105" s="49" t="s">
        <v>96</v>
      </c>
      <c r="E105" s="49" t="s">
        <v>7</v>
      </c>
      <c r="F105" s="90" t="s">
        <v>138</v>
      </c>
      <c r="G105" s="159">
        <v>46107</v>
      </c>
      <c r="H105" s="34" t="s">
        <v>6</v>
      </c>
      <c r="I105" s="91">
        <v>451109.28</v>
      </c>
      <c r="J105" s="149" cm="1">
        <f t="array" ref="J105">_xlfn.IFS(D105="INDUSTOWER","40",D105="RELIANCEIN","44",D105="SIEMENSLTD","120",D105="CLEANMAX","40",D105="AVAADA","40",D105="ARCHTECH","40")+G105</f>
        <v>46227</v>
      </c>
      <c r="K105" s="160">
        <v>46129</v>
      </c>
      <c r="L105" s="161">
        <f t="shared" si="18"/>
        <v>46247</v>
      </c>
      <c r="M105" s="83"/>
      <c r="N105" s="157">
        <f t="shared" si="19"/>
        <v>46107</v>
      </c>
      <c r="O105" s="157"/>
      <c r="P105" s="156"/>
      <c r="Q105" s="84"/>
      <c r="R105" s="84">
        <f t="shared" si="20"/>
        <v>405998.35200000001</v>
      </c>
      <c r="S105" s="92">
        <v>7.6999999999999999E-2</v>
      </c>
      <c r="T105" s="162">
        <f t="shared" si="21"/>
        <v>118</v>
      </c>
      <c r="U105" s="93">
        <f t="shared" si="22"/>
        <v>10107</v>
      </c>
      <c r="V105" s="85">
        <f t="shared" si="23"/>
        <v>395891.35200000001</v>
      </c>
      <c r="W105" s="86"/>
      <c r="X105" s="83"/>
      <c r="Y105" s="163"/>
      <c r="Z105" s="163"/>
      <c r="AA105" s="88"/>
      <c r="AB105" s="87"/>
      <c r="AC105" s="165" cm="1">
        <f t="array" ref="AC105">_xlfn.IFS(D105="INDUSTOWER","275000000",D105="RELIANCEIN","220000000",D105="SIEMENSLTD","83330000")-I105</f>
        <v>82878890.719999999</v>
      </c>
      <c r="AD105"/>
    </row>
    <row r="106" spans="1:30" x14ac:dyDescent="0.25">
      <c r="A106" s="158">
        <f>SUBTOTAL(3,B$3:B106)</f>
        <v>0</v>
      </c>
      <c r="B106" s="1">
        <f>SUBTOTAL(3,C$3:C106)</f>
        <v>104</v>
      </c>
      <c r="C106" s="83" t="s">
        <v>93</v>
      </c>
      <c r="D106" s="49" t="s">
        <v>96</v>
      </c>
      <c r="E106" s="49" t="s">
        <v>7</v>
      </c>
      <c r="F106" s="90" t="s">
        <v>139</v>
      </c>
      <c r="G106" s="159">
        <v>46107</v>
      </c>
      <c r="H106" s="34" t="s">
        <v>6</v>
      </c>
      <c r="I106" s="91">
        <v>155809.56</v>
      </c>
      <c r="J106" s="149" cm="1">
        <f t="array" ref="J106">_xlfn.IFS(D106="INDUSTOWER","40",D106="RELIANCEIN","44",D106="SIEMENSLTD","120",D106="CLEANMAX","40",D106="AVAADA","40",D106="ARCHTECH","40")+G106</f>
        <v>46227</v>
      </c>
      <c r="K106" s="160">
        <v>46129</v>
      </c>
      <c r="L106" s="161">
        <f t="shared" si="18"/>
        <v>46247</v>
      </c>
      <c r="M106" s="83"/>
      <c r="N106" s="157">
        <f t="shared" si="19"/>
        <v>46107</v>
      </c>
      <c r="O106" s="157"/>
      <c r="P106" s="156"/>
      <c r="Q106" s="84"/>
      <c r="R106" s="84">
        <f t="shared" si="20"/>
        <v>140228.60399999999</v>
      </c>
      <c r="S106" s="92">
        <v>7.6999999999999999E-2</v>
      </c>
      <c r="T106" s="162">
        <f t="shared" si="21"/>
        <v>118</v>
      </c>
      <c r="U106" s="93">
        <f t="shared" si="22"/>
        <v>3491</v>
      </c>
      <c r="V106" s="85">
        <f t="shared" si="23"/>
        <v>136737.60399999999</v>
      </c>
      <c r="W106" s="86"/>
      <c r="X106" s="83"/>
      <c r="Y106" s="163"/>
      <c r="Z106" s="163"/>
      <c r="AA106" s="88"/>
      <c r="AB106" s="87"/>
      <c r="AC106" s="165" cm="1">
        <f t="array" ref="AC106">_xlfn.IFS(D106="INDUSTOWER","275000000",D106="RELIANCEIN","220000000",D106="SIEMENSLTD","83330000")-I106</f>
        <v>83174190.439999998</v>
      </c>
      <c r="AD106"/>
    </row>
    <row r="107" spans="1:30" x14ac:dyDescent="0.25">
      <c r="A107" s="158">
        <f>SUBTOTAL(3,B$3:B107)</f>
        <v>0</v>
      </c>
      <c r="B107" s="1">
        <f>SUBTOTAL(3,C$3:C107)</f>
        <v>105</v>
      </c>
      <c r="C107" s="83" t="s">
        <v>93</v>
      </c>
      <c r="D107" s="49" t="s">
        <v>96</v>
      </c>
      <c r="E107" s="49" t="s">
        <v>7</v>
      </c>
      <c r="F107" s="90" t="s">
        <v>344</v>
      </c>
      <c r="G107" s="159">
        <v>46111</v>
      </c>
      <c r="H107" s="34" t="s">
        <v>6</v>
      </c>
      <c r="I107" s="91">
        <v>1625674.2</v>
      </c>
      <c r="J107" s="149" cm="1">
        <f t="array" ref="J107">_xlfn.IFS(D107="INDUSTOWER","40",D107="RELIANCEIN","44",D107="SIEMENSLTD","120",D107="CLEANMAX","40",D107="AVAADA","40",D107="ARCHTECH","40")+G107</f>
        <v>46231</v>
      </c>
      <c r="K107" s="160">
        <v>46129</v>
      </c>
      <c r="L107" s="161">
        <f t="shared" si="18"/>
        <v>46251</v>
      </c>
      <c r="M107" s="83"/>
      <c r="N107" s="157">
        <f t="shared" si="19"/>
        <v>46111</v>
      </c>
      <c r="O107" s="157"/>
      <c r="P107" s="156"/>
      <c r="Q107" s="84"/>
      <c r="R107" s="84">
        <f t="shared" si="20"/>
        <v>1463106.78</v>
      </c>
      <c r="S107" s="92">
        <v>7.6999999999999999E-2</v>
      </c>
      <c r="T107" s="162">
        <f t="shared" si="21"/>
        <v>122</v>
      </c>
      <c r="U107" s="93">
        <f t="shared" si="22"/>
        <v>37656</v>
      </c>
      <c r="V107" s="85">
        <f t="shared" si="23"/>
        <v>1425450.78</v>
      </c>
      <c r="W107" s="86"/>
      <c r="X107" s="83"/>
      <c r="Y107" s="163"/>
      <c r="Z107" s="163"/>
      <c r="AA107" s="88"/>
      <c r="AB107" s="87"/>
      <c r="AC107" s="165" cm="1">
        <f t="array" ref="AC107">_xlfn.IFS(D107="INDUSTOWER","275000000",D107="RELIANCEIN","220000000",D107="SIEMENSLTD","83330000")-I107</f>
        <v>81704325.799999997</v>
      </c>
      <c r="AD107"/>
    </row>
    <row r="108" spans="1:30" x14ac:dyDescent="0.25">
      <c r="A108" s="158">
        <f>SUBTOTAL(3,B$3:B108)</f>
        <v>0</v>
      </c>
      <c r="B108" s="1">
        <f>SUBTOTAL(3,C$3:C108)</f>
        <v>106</v>
      </c>
      <c r="C108" s="83" t="s">
        <v>93</v>
      </c>
      <c r="D108" s="49" t="s">
        <v>96</v>
      </c>
      <c r="E108" s="49" t="s">
        <v>7</v>
      </c>
      <c r="F108" s="90" t="s">
        <v>345</v>
      </c>
      <c r="G108" s="159">
        <v>46111</v>
      </c>
      <c r="H108" s="34" t="s">
        <v>6</v>
      </c>
      <c r="I108" s="91">
        <v>1627034.74</v>
      </c>
      <c r="J108" s="149" cm="1">
        <f t="array" ref="J108">_xlfn.IFS(D108="INDUSTOWER","40",D108="RELIANCEIN","44",D108="SIEMENSLTD","120",D108="CLEANMAX","40",D108="AVAADA","40",D108="ARCHTECH","40")+G108</f>
        <v>46231</v>
      </c>
      <c r="K108" s="160">
        <v>46129</v>
      </c>
      <c r="L108" s="161">
        <f t="shared" si="18"/>
        <v>46251</v>
      </c>
      <c r="M108" s="83"/>
      <c r="N108" s="157">
        <f t="shared" si="19"/>
        <v>46111</v>
      </c>
      <c r="O108" s="157"/>
      <c r="P108" s="156"/>
      <c r="Q108" s="84"/>
      <c r="R108" s="84">
        <f t="shared" si="20"/>
        <v>1464331.2660000001</v>
      </c>
      <c r="S108" s="92">
        <v>7.6999999999999999E-2</v>
      </c>
      <c r="T108" s="162">
        <f t="shared" si="21"/>
        <v>122</v>
      </c>
      <c r="U108" s="93">
        <f t="shared" si="22"/>
        <v>37687</v>
      </c>
      <c r="V108" s="85">
        <f t="shared" si="23"/>
        <v>1426644.2660000001</v>
      </c>
      <c r="W108" s="86"/>
      <c r="X108" s="83"/>
      <c r="Y108" s="163"/>
      <c r="Z108" s="163"/>
      <c r="AA108" s="88"/>
      <c r="AB108" s="87"/>
      <c r="AC108" s="165" cm="1">
        <f t="array" ref="AC108">_xlfn.IFS(D108="INDUSTOWER","275000000",D108="RELIANCEIN","220000000",D108="SIEMENSLTD","83330000")-I108</f>
        <v>81702965.260000005</v>
      </c>
      <c r="AD108"/>
    </row>
    <row r="109" spans="1:30" x14ac:dyDescent="0.25">
      <c r="A109" s="158">
        <v>1</v>
      </c>
      <c r="B109" s="1">
        <f>SUBTOTAL(3,C$3:C109)</f>
        <v>107</v>
      </c>
      <c r="C109" s="83" t="s">
        <v>93</v>
      </c>
      <c r="D109" s="49" t="s">
        <v>96</v>
      </c>
      <c r="E109" s="49" t="s">
        <v>7</v>
      </c>
      <c r="F109" s="90" t="s">
        <v>205</v>
      </c>
      <c r="G109" s="159">
        <v>46129</v>
      </c>
      <c r="H109" s="34" t="s">
        <v>6</v>
      </c>
      <c r="I109" s="91">
        <v>5560.16</v>
      </c>
      <c r="J109" s="149" cm="1">
        <f t="array" ref="J109">_xlfn.IFS(D109="INDUSTOWER","40",D109="RELIANCEIN","44",D109="SIEMENSLTD","120",D109="CLEANMAX","40",D109="AVAADA","40",D109="ARCHTECH","40")+G109</f>
        <v>46249</v>
      </c>
      <c r="K109" s="160">
        <v>46135</v>
      </c>
      <c r="L109" s="161">
        <f t="shared" si="18"/>
        <v>46269</v>
      </c>
      <c r="M109" s="83">
        <v>91749</v>
      </c>
      <c r="N109" s="157">
        <f t="shared" si="19"/>
        <v>46129</v>
      </c>
      <c r="O109" s="157"/>
      <c r="P109" s="156"/>
      <c r="Q109" s="84" t="s">
        <v>140</v>
      </c>
      <c r="R109" s="84">
        <f t="shared" si="20"/>
        <v>5004.1440000000002</v>
      </c>
      <c r="S109" s="92">
        <v>7.6999999999999999E-2</v>
      </c>
      <c r="T109" s="162">
        <f t="shared" si="21"/>
        <v>134</v>
      </c>
      <c r="U109" s="93">
        <f t="shared" si="22"/>
        <v>141</v>
      </c>
      <c r="V109" s="85">
        <f t="shared" si="23"/>
        <v>4863.1440000000002</v>
      </c>
      <c r="W109" s="86"/>
      <c r="X109" s="83"/>
      <c r="Y109" s="163"/>
      <c r="Z109" s="163"/>
      <c r="AA109" s="88"/>
      <c r="AB109" s="87"/>
      <c r="AC109" s="165" cm="1">
        <f t="array" ref="AC109">_xlfn.IFS(D109="INDUSTOWER","275000000",D109="RELIANCEIN","220000000",D109="SIEMENSLTD","83330000")-I109</f>
        <v>83324439.840000004</v>
      </c>
      <c r="AD109"/>
    </row>
    <row r="110" spans="1:30" x14ac:dyDescent="0.25">
      <c r="A110" s="158">
        <v>1</v>
      </c>
      <c r="B110" s="1">
        <f>SUBTOTAL(3,C$3:C110)</f>
        <v>108</v>
      </c>
      <c r="C110" s="83" t="s">
        <v>93</v>
      </c>
      <c r="D110" s="49" t="s">
        <v>96</v>
      </c>
      <c r="E110" s="49" t="s">
        <v>7</v>
      </c>
      <c r="F110" s="90" t="s">
        <v>206</v>
      </c>
      <c r="G110" s="159">
        <v>46133</v>
      </c>
      <c r="H110" s="34" t="s">
        <v>6</v>
      </c>
      <c r="I110" s="91">
        <v>357129.36</v>
      </c>
      <c r="J110" s="149" cm="1">
        <f t="array" ref="J110">_xlfn.IFS(D110="INDUSTOWER","40",D110="RELIANCEIN","44",D110="SIEMENSLTD","120",D110="CLEANMAX","40",D110="AVAADA","40",D110="ARCHTECH","40")+G110</f>
        <v>46253</v>
      </c>
      <c r="K110" s="160">
        <v>46135</v>
      </c>
      <c r="L110" s="161">
        <f t="shared" si="18"/>
        <v>46273</v>
      </c>
      <c r="M110" s="83" t="s">
        <v>207</v>
      </c>
      <c r="N110" s="157">
        <f t="shared" si="19"/>
        <v>46133</v>
      </c>
      <c r="O110" s="157"/>
      <c r="P110" s="156"/>
      <c r="Q110" s="84" t="s">
        <v>208</v>
      </c>
      <c r="R110" s="84">
        <f t="shared" si="20"/>
        <v>321416.424</v>
      </c>
      <c r="S110" s="92">
        <v>7.6999999999999999E-2</v>
      </c>
      <c r="T110" s="162">
        <f t="shared" si="21"/>
        <v>138</v>
      </c>
      <c r="U110" s="93">
        <f t="shared" si="22"/>
        <v>9357</v>
      </c>
      <c r="V110" s="85">
        <f t="shared" si="23"/>
        <v>312059.424</v>
      </c>
      <c r="W110" s="86"/>
      <c r="X110" s="83"/>
      <c r="Y110" s="163"/>
      <c r="Z110" s="163"/>
      <c r="AA110" s="88"/>
      <c r="AB110" s="87"/>
      <c r="AC110" s="165" cm="1">
        <f t="array" ref="AC110">_xlfn.IFS(D110="INDUSTOWER","275000000",D110="RELIANCEIN","220000000",D110="SIEMENSLTD","83330000")-I110</f>
        <v>82972870.640000001</v>
      </c>
      <c r="AD110"/>
    </row>
    <row r="111" spans="1:30" x14ac:dyDescent="0.25">
      <c r="A111" s="158">
        <v>1</v>
      </c>
      <c r="B111" s="1">
        <f>SUBTOTAL(3,C$3:C111)</f>
        <v>109</v>
      </c>
      <c r="C111" s="83" t="s">
        <v>93</v>
      </c>
      <c r="D111" s="49" t="s">
        <v>96</v>
      </c>
      <c r="E111" s="49" t="s">
        <v>7</v>
      </c>
      <c r="F111" s="90" t="s">
        <v>209</v>
      </c>
      <c r="G111" s="159">
        <v>46133</v>
      </c>
      <c r="H111" s="34" t="s">
        <v>6</v>
      </c>
      <c r="I111" s="91">
        <v>418134.18</v>
      </c>
      <c r="J111" s="149" cm="1">
        <f t="array" ref="J111">_xlfn.IFS(D111="INDUSTOWER","40",D111="RELIANCEIN","44",D111="SIEMENSLTD","120",D111="CLEANMAX","40",D111="AVAADA","40",D111="ARCHTECH","40")+G111</f>
        <v>46253</v>
      </c>
      <c r="K111" s="160">
        <v>46135</v>
      </c>
      <c r="L111" s="161">
        <f t="shared" si="18"/>
        <v>46273</v>
      </c>
      <c r="M111" s="83" t="s">
        <v>210</v>
      </c>
      <c r="N111" s="157">
        <f t="shared" si="19"/>
        <v>46133</v>
      </c>
      <c r="O111" s="157"/>
      <c r="P111" s="156"/>
      <c r="Q111" s="84" t="s">
        <v>211</v>
      </c>
      <c r="R111" s="84">
        <f t="shared" si="20"/>
        <v>376320.76199999999</v>
      </c>
      <c r="S111" s="92">
        <v>7.6999999999999999E-2</v>
      </c>
      <c r="T111" s="162">
        <f>+J111-K111+20</f>
        <v>138</v>
      </c>
      <c r="U111" s="93">
        <f>ROUND(+R111*S111*T111/365,0)</f>
        <v>10956</v>
      </c>
      <c r="V111" s="85">
        <f>+R111-U111</f>
        <v>365364.76199999999</v>
      </c>
      <c r="W111" s="86"/>
      <c r="X111" s="83"/>
      <c r="Y111" s="163"/>
      <c r="Z111" s="163"/>
      <c r="AA111" s="88"/>
      <c r="AB111" s="87"/>
      <c r="AC111" s="165" cm="1">
        <f t="array" ref="AC111">_xlfn.IFS(D111="INDUSTOWER","275000000",D111="RELIANCEIN","220000000",D111="SIEMENSLTD","83330000")-I111</f>
        <v>82911865.819999993</v>
      </c>
      <c r="AD111"/>
    </row>
    <row r="112" spans="1:30" x14ac:dyDescent="0.25">
      <c r="A112" s="158">
        <v>1</v>
      </c>
      <c r="B112" s="1">
        <f>SUBTOTAL(3,C$3:C112)</f>
        <v>110</v>
      </c>
      <c r="C112" s="83" t="s">
        <v>93</v>
      </c>
      <c r="D112" s="49" t="s">
        <v>96</v>
      </c>
      <c r="E112" s="49" t="s">
        <v>7</v>
      </c>
      <c r="F112" s="90" t="s">
        <v>212</v>
      </c>
      <c r="G112" s="159">
        <v>46133</v>
      </c>
      <c r="H112" s="34" t="s">
        <v>6</v>
      </c>
      <c r="I112" s="91">
        <v>479139</v>
      </c>
      <c r="J112" s="149" cm="1">
        <f t="array" ref="J112">_xlfn.IFS(D112="INDUSTOWER","40",D112="RELIANCEIN","44",D112="SIEMENSLTD","120",D112="CLEANMAX","40",D112="AVAADA","40",D112="ARCHTECH","40")+G112</f>
        <v>46253</v>
      </c>
      <c r="K112" s="160">
        <v>46135</v>
      </c>
      <c r="L112" s="161">
        <f t="shared" si="18"/>
        <v>46273</v>
      </c>
      <c r="M112" s="83" t="s">
        <v>213</v>
      </c>
      <c r="N112" s="157">
        <f t="shared" si="19"/>
        <v>46133</v>
      </c>
      <c r="O112" s="157"/>
      <c r="P112" s="156"/>
      <c r="Q112" s="84" t="s">
        <v>214</v>
      </c>
      <c r="R112" s="84">
        <f t="shared" si="20"/>
        <v>431225.10000000003</v>
      </c>
      <c r="S112" s="92">
        <v>7.6999999999999999E-2</v>
      </c>
      <c r="T112" s="162">
        <f>+J112-K112+20</f>
        <v>138</v>
      </c>
      <c r="U112" s="93">
        <f>ROUND(+R112*S112*T112/365,0)</f>
        <v>12554</v>
      </c>
      <c r="V112" s="85">
        <f>+R112-U112</f>
        <v>418671.10000000003</v>
      </c>
      <c r="W112" s="86"/>
      <c r="X112" s="83"/>
      <c r="Y112" s="163"/>
      <c r="Z112" s="163"/>
      <c r="AA112" s="88"/>
      <c r="AB112" s="87"/>
      <c r="AC112" s="165" cm="1">
        <f t="array" ref="AC112">_xlfn.IFS(D112="INDUSTOWER","275000000",D112="RELIANCEIN","220000000",D112="SIEMENSLTD","83330000")-I112</f>
        <v>82850861</v>
      </c>
      <c r="AD112"/>
    </row>
    <row r="113" spans="1:30" x14ac:dyDescent="0.25">
      <c r="A113" s="158">
        <v>1</v>
      </c>
      <c r="B113" s="1">
        <f>SUBTOTAL(3,C$3:C113)</f>
        <v>111</v>
      </c>
      <c r="C113" s="83" t="s">
        <v>93</v>
      </c>
      <c r="D113" s="49" t="s">
        <v>96</v>
      </c>
      <c r="E113" s="49" t="s">
        <v>7</v>
      </c>
      <c r="F113" s="90" t="s">
        <v>215</v>
      </c>
      <c r="G113" s="159">
        <v>46133</v>
      </c>
      <c r="H113" s="34" t="s">
        <v>6</v>
      </c>
      <c r="I113" s="91">
        <v>692866.5</v>
      </c>
      <c r="J113" s="149" cm="1">
        <f t="array" ref="J113">_xlfn.IFS(D113="INDUSTOWER","40",D113="RELIANCEIN","44",D113="SIEMENSLTD","120",D113="CLEANMAX","40",D113="AVAADA","40",D113="ARCHTECH","40")+G113</f>
        <v>46253</v>
      </c>
      <c r="K113" s="160">
        <v>46135</v>
      </c>
      <c r="L113" s="161">
        <f t="shared" si="18"/>
        <v>46273</v>
      </c>
      <c r="M113" s="83" t="s">
        <v>216</v>
      </c>
      <c r="N113" s="157">
        <f t="shared" si="19"/>
        <v>46133</v>
      </c>
      <c r="O113" s="157"/>
      <c r="P113" s="156"/>
      <c r="Q113" s="84" t="s">
        <v>217</v>
      </c>
      <c r="R113" s="84">
        <f t="shared" si="20"/>
        <v>623579.85</v>
      </c>
      <c r="S113" s="92">
        <v>7.6999999999999999E-2</v>
      </c>
      <c r="T113" s="162">
        <f>+J113-K113+20</f>
        <v>138</v>
      </c>
      <c r="U113" s="93">
        <f>ROUND(+R113*S113*T113/365,0)</f>
        <v>18154</v>
      </c>
      <c r="V113" s="85">
        <f>+R113-U113</f>
        <v>605425.85</v>
      </c>
      <c r="W113" s="86"/>
      <c r="X113" s="83"/>
      <c r="Y113" s="163"/>
      <c r="Z113" s="163"/>
      <c r="AA113" s="88"/>
      <c r="AB113" s="87"/>
      <c r="AC113" s="165" cm="1">
        <f t="array" ref="AC113">_xlfn.IFS(D113="INDUSTOWER","275000000",D113="RELIANCEIN","220000000",D113="SIEMENSLTD","83330000")-I113</f>
        <v>82637133.5</v>
      </c>
      <c r="AD113"/>
    </row>
    <row r="114" spans="1:30" x14ac:dyDescent="0.25">
      <c r="A114" s="164">
        <v>2</v>
      </c>
      <c r="B114" s="1">
        <f>SUBTOTAL(3,C$3:C114)</f>
        <v>112</v>
      </c>
      <c r="C114" s="83" t="s">
        <v>93</v>
      </c>
      <c r="D114" s="49" t="s">
        <v>96</v>
      </c>
      <c r="E114" s="49" t="s">
        <v>7</v>
      </c>
      <c r="F114" s="90" t="s">
        <v>218</v>
      </c>
      <c r="G114" s="159">
        <v>46134</v>
      </c>
      <c r="H114" s="34" t="s">
        <v>6</v>
      </c>
      <c r="I114" s="91">
        <v>155809.56</v>
      </c>
      <c r="J114" s="149" cm="1">
        <f t="array" ref="J114">_xlfn.IFS(D114="INDUSTOWER","40",D114="RELIANCEIN","44",D114="SIEMENSLTD","120",D114="CLEANMAX","40",D114="AVAADA","40",D114="ARCHTECH","40")+G114</f>
        <v>46254</v>
      </c>
      <c r="K114" s="160">
        <v>46135</v>
      </c>
      <c r="L114" s="161">
        <f t="shared" si="18"/>
        <v>46274</v>
      </c>
      <c r="M114" s="83" t="s">
        <v>219</v>
      </c>
      <c r="N114" s="157">
        <f t="shared" si="19"/>
        <v>46134</v>
      </c>
      <c r="O114" s="157"/>
      <c r="P114" s="156"/>
      <c r="Q114" s="84" t="s">
        <v>141</v>
      </c>
      <c r="R114" s="84">
        <f t="shared" si="20"/>
        <v>140228.60399999999</v>
      </c>
      <c r="S114" s="92">
        <v>7.6999999999999999E-2</v>
      </c>
      <c r="T114" s="162">
        <f>+J114-K114+20</f>
        <v>139</v>
      </c>
      <c r="U114" s="93">
        <f>ROUND(+R114*S114*T114/365,0)</f>
        <v>4112</v>
      </c>
      <c r="V114" s="85">
        <f>+R114-U114</f>
        <v>136116.60399999999</v>
      </c>
      <c r="W114" s="86"/>
      <c r="X114" s="83"/>
      <c r="Y114" s="163"/>
      <c r="Z114" s="163"/>
      <c r="AA114" s="88"/>
      <c r="AB114" s="87"/>
      <c r="AC114" s="165" cm="1">
        <f t="array" ref="AC114">_xlfn.IFS(D114="INDUSTOWER","275000000",D114="RELIANCEIN","220000000",D114="SIEMENSLTD","83330000")-I114</f>
        <v>83174190.439999998</v>
      </c>
      <c r="AD114"/>
    </row>
    <row r="115" spans="1:30" x14ac:dyDescent="0.25">
      <c r="A115" s="164">
        <v>2</v>
      </c>
      <c r="B115" s="1">
        <f>SUBTOTAL(3,C$3:C115)</f>
        <v>113</v>
      </c>
      <c r="C115" s="83" t="s">
        <v>93</v>
      </c>
      <c r="D115" s="49" t="s">
        <v>96</v>
      </c>
      <c r="E115" s="49" t="s">
        <v>7</v>
      </c>
      <c r="F115" s="90" t="s">
        <v>220</v>
      </c>
      <c r="G115" s="159">
        <v>46134</v>
      </c>
      <c r="H115" s="34" t="s">
        <v>6</v>
      </c>
      <c r="I115" s="91">
        <v>230361.96</v>
      </c>
      <c r="J115" s="149" cm="1">
        <f t="array" ref="J115">_xlfn.IFS(D115="INDUSTOWER","40",D115="RELIANCEIN","44",D115="SIEMENSLTD","120",D115="CLEANMAX","40",D115="AVAADA","40",D115="ARCHTECH","40")+G115</f>
        <v>46254</v>
      </c>
      <c r="K115" s="160">
        <v>46135</v>
      </c>
      <c r="L115" s="161">
        <f t="shared" si="18"/>
        <v>46274</v>
      </c>
      <c r="M115" s="83" t="s">
        <v>221</v>
      </c>
      <c r="N115" s="157">
        <f t="shared" si="19"/>
        <v>46134</v>
      </c>
      <c r="O115" s="157"/>
      <c r="P115" s="156"/>
      <c r="Q115" s="84" t="s">
        <v>141</v>
      </c>
      <c r="R115" s="84">
        <f t="shared" si="20"/>
        <v>207325.764</v>
      </c>
      <c r="S115" s="92">
        <v>7.6999999999999999E-2</v>
      </c>
      <c r="T115" s="162">
        <f>+J115-K115+20</f>
        <v>139</v>
      </c>
      <c r="U115" s="93">
        <f>ROUND(+R115*S115*T115/365,0)</f>
        <v>6079</v>
      </c>
      <c r="V115" s="85">
        <f>+R115-U115</f>
        <v>201246.764</v>
      </c>
      <c r="W115" s="86"/>
      <c r="X115" s="83"/>
      <c r="Y115" s="163"/>
      <c r="Z115" s="163"/>
      <c r="AA115" s="88"/>
      <c r="AB115" s="87"/>
      <c r="AC115" s="165" cm="1">
        <f t="array" ref="AC115">_xlfn.IFS(D115="INDUSTOWER","275000000",D115="RELIANCEIN","220000000",D115="SIEMENSLTD","83330000")-I115</f>
        <v>83099638.040000007</v>
      </c>
      <c r="AD115"/>
    </row>
    <row r="116" spans="1:30" x14ac:dyDescent="0.25">
      <c r="A116" s="164">
        <v>3</v>
      </c>
      <c r="B116" s="1">
        <f>SUBTOTAL(3,C$3:C116)</f>
        <v>114</v>
      </c>
      <c r="C116" s="83" t="s">
        <v>93</v>
      </c>
      <c r="D116" s="49" t="s">
        <v>96</v>
      </c>
      <c r="E116" s="49" t="s">
        <v>7</v>
      </c>
      <c r="F116" s="90" t="s">
        <v>361</v>
      </c>
      <c r="G116" s="159">
        <v>46135</v>
      </c>
      <c r="H116" s="34" t="s">
        <v>6</v>
      </c>
      <c r="I116" s="91">
        <v>129841.3</v>
      </c>
      <c r="J116" s="206" cm="1">
        <f t="array" ref="J116">_xlfn.IFS(D116="INDUSTOWER","40",D116="RELIANCEIN","44",D116="SIEMENSLTD","120",D116="CLEANMAX","40",D116="AVAADA","40",D116="ARCHTECH","40")+G116</f>
        <v>46255</v>
      </c>
      <c r="K116" s="160">
        <v>46135</v>
      </c>
      <c r="L116" s="161">
        <f>+J116+20</f>
        <v>46275</v>
      </c>
      <c r="M116" s="83" t="s">
        <v>219</v>
      </c>
      <c r="N116" s="157">
        <f>+G116</f>
        <v>46135</v>
      </c>
      <c r="O116" s="157"/>
      <c r="P116" s="156"/>
      <c r="Q116" s="84" t="s">
        <v>141</v>
      </c>
      <c r="R116" s="84">
        <f t="shared" si="20"/>
        <v>116857.17</v>
      </c>
      <c r="S116" s="92">
        <v>7.6999999999999999E-2</v>
      </c>
      <c r="T116" s="162">
        <f t="shared" ref="T116:T117" si="24">+J116-K116+20</f>
        <v>140</v>
      </c>
      <c r="U116" s="93">
        <f t="shared" ref="U116:U117" si="25">ROUND(+R116*S116*T116/365,0)</f>
        <v>3451</v>
      </c>
      <c r="V116" s="85">
        <f t="shared" ref="V116:V117" si="26">+R116-U116</f>
        <v>113406.17</v>
      </c>
      <c r="W116" s="86"/>
      <c r="X116" s="83"/>
      <c r="Y116" s="163"/>
      <c r="Z116" s="163"/>
      <c r="AA116" s="88"/>
      <c r="AB116" s="87"/>
      <c r="AC116" s="207" cm="1">
        <f t="array" ref="AC116">_xlfn.IFS(D116="INDUSTOWER","275000000",D116="RELIANCEIN","220000000",D116="SIEMENSLTD","83330000")-I116</f>
        <v>83200158.700000003</v>
      </c>
      <c r="AD116"/>
    </row>
    <row r="117" spans="1:30" x14ac:dyDescent="0.25">
      <c r="A117" s="164">
        <v>3</v>
      </c>
      <c r="B117" s="6">
        <f>SUBTOTAL(3,C$3:C154)</f>
        <v>152</v>
      </c>
      <c r="C117" s="83" t="s">
        <v>93</v>
      </c>
      <c r="D117" s="49" t="s">
        <v>96</v>
      </c>
      <c r="E117" s="49" t="s">
        <v>7</v>
      </c>
      <c r="F117" s="90" t="s">
        <v>362</v>
      </c>
      <c r="G117" s="159">
        <v>46135</v>
      </c>
      <c r="H117" s="34" t="s">
        <v>6</v>
      </c>
      <c r="I117" s="91">
        <v>150509</v>
      </c>
      <c r="J117" s="206" cm="1">
        <f t="array" ref="J117">_xlfn.IFS(D117="INDUSTOWER","40",D117="RELIANCEIN","44",D117="SIEMENSLTD","120",D117="CLEANMAX","40",D117="AVAADA","40",D117="ARCHTECH","40")+G117</f>
        <v>46255</v>
      </c>
      <c r="K117" s="160">
        <v>46135</v>
      </c>
      <c r="L117" s="161">
        <f>+J117+20</f>
        <v>46275</v>
      </c>
      <c r="M117" s="83" t="s">
        <v>363</v>
      </c>
      <c r="N117" s="157">
        <f>+G117</f>
        <v>46135</v>
      </c>
      <c r="O117" s="157"/>
      <c r="P117" s="156"/>
      <c r="Q117" s="84" t="s">
        <v>141</v>
      </c>
      <c r="R117" s="84">
        <f t="shared" si="20"/>
        <v>135458.1</v>
      </c>
      <c r="S117" s="92">
        <v>7.6999999999999999E-2</v>
      </c>
      <c r="T117" s="162">
        <f t="shared" si="24"/>
        <v>140</v>
      </c>
      <c r="U117" s="93">
        <f t="shared" si="25"/>
        <v>4001</v>
      </c>
      <c r="V117" s="85">
        <f t="shared" si="26"/>
        <v>131457.1</v>
      </c>
      <c r="W117" s="86"/>
      <c r="X117" s="83"/>
      <c r="Y117" s="163"/>
      <c r="Z117" s="163"/>
      <c r="AA117" s="88"/>
      <c r="AB117" s="87"/>
      <c r="AC117" s="207" cm="1">
        <f t="array" ref="AC117">_xlfn.IFS(D117="INDUSTOWER","275000000",D117="RELIANCEIN","220000000",D117="SIEMENSLTD","83330000")-I117</f>
        <v>83179491</v>
      </c>
      <c r="AD117"/>
    </row>
    <row r="118" spans="1:30" x14ac:dyDescent="0.25">
      <c r="A118" s="158">
        <f>SUBTOTAL(3,B$3:B118)</f>
        <v>0</v>
      </c>
      <c r="B118" s="1">
        <f>SUBTOTAL(3,C$3:C118)</f>
        <v>116</v>
      </c>
      <c r="C118" s="83" t="s">
        <v>93</v>
      </c>
      <c r="D118" s="49" t="s">
        <v>453</v>
      </c>
      <c r="E118" s="49" t="s">
        <v>7</v>
      </c>
      <c r="F118" s="90" t="s">
        <v>444</v>
      </c>
      <c r="G118" s="159">
        <v>46111</v>
      </c>
      <c r="H118" s="34" t="s">
        <v>6</v>
      </c>
      <c r="I118" s="91">
        <v>42420120.899999999</v>
      </c>
      <c r="J118" s="206" cm="1">
        <f t="array" ref="J118">_xlfn.IFS(D118="INDUSTOWER","40",D118="RELIANCEIN","44",D118="SIEMENSLTD","120",D118="CLEANMAX","40",D118="AVAADA","40",D118="ARCHTECH","40")+G118</f>
        <v>46151</v>
      </c>
      <c r="K118" s="267">
        <f t="shared" ref="K118:K154" ca="1" si="27">TODAY()</f>
        <v>46148</v>
      </c>
      <c r="L118" s="161">
        <f t="shared" ref="L118:L154" si="28">+J118+20</f>
        <v>46171</v>
      </c>
      <c r="M118" s="83" t="s">
        <v>92</v>
      </c>
      <c r="N118" s="157">
        <f t="shared" ref="N118:N154" si="29">+G118</f>
        <v>46111</v>
      </c>
      <c r="O118" s="148"/>
      <c r="P118" s="269"/>
      <c r="Q118" s="270" t="s">
        <v>461</v>
      </c>
      <c r="R118" s="84">
        <f t="shared" si="20"/>
        <v>38178108.810000002</v>
      </c>
      <c r="S118" s="92">
        <v>7.6999999999999999E-2</v>
      </c>
      <c r="T118" s="162">
        <f t="shared" ref="T118:T154" ca="1" si="30">+J118-K118+20</f>
        <v>23</v>
      </c>
      <c r="U118" s="93">
        <f t="shared" ref="U118:U154" ca="1" si="31">ROUND(+R118*S118*T118/365,0)</f>
        <v>185242</v>
      </c>
      <c r="V118" s="85">
        <f t="shared" ref="V118:V154" ca="1" si="32">+R118-U118</f>
        <v>37992866.810000002</v>
      </c>
      <c r="W118" s="17"/>
      <c r="X118" s="6"/>
      <c r="Y118" s="94"/>
      <c r="Z118" s="94"/>
      <c r="AA118" s="20"/>
      <c r="AB118" s="19"/>
      <c r="AC118" s="16" t="e" cm="1">
        <f t="array" ref="AC118">_xlfn.IFS(D118="INDUSTOWER","275000000",D118="RELIANCEIN","220000000",D118="SIEMENSLTD","83330000")-I118</f>
        <v>#N/A</v>
      </c>
      <c r="AD118"/>
    </row>
    <row r="119" spans="1:30" x14ac:dyDescent="0.25">
      <c r="A119" s="158">
        <f>SUBTOTAL(3,B$3:B119)</f>
        <v>0</v>
      </c>
      <c r="B119" s="1">
        <f>SUBTOTAL(3,C$3:C119)</f>
        <v>117</v>
      </c>
      <c r="C119" s="83" t="s">
        <v>93</v>
      </c>
      <c r="D119" s="210" t="s">
        <v>453</v>
      </c>
      <c r="E119" s="49" t="s">
        <v>7</v>
      </c>
      <c r="F119" s="211" t="s">
        <v>445</v>
      </c>
      <c r="G119" s="212">
        <v>46111</v>
      </c>
      <c r="H119" s="34" t="s">
        <v>6</v>
      </c>
      <c r="I119" s="214">
        <v>6290155.2000000002</v>
      </c>
      <c r="J119" s="161" cm="1">
        <f t="array" ref="J119">_xlfn.IFS(D119="INDUSTOWER","40",D119="RELIANCEIN","44",D119="SIEMENSLTD","120",D119="CLEANMAX","40",D119="AVAADA","40",D119="ARCHTECH","40")+G119</f>
        <v>46151</v>
      </c>
      <c r="K119" s="268">
        <f t="shared" ca="1" si="27"/>
        <v>46148</v>
      </c>
      <c r="L119" s="161">
        <f t="shared" si="28"/>
        <v>46171</v>
      </c>
      <c r="M119" s="209" t="s">
        <v>91</v>
      </c>
      <c r="N119" s="216">
        <f t="shared" si="29"/>
        <v>46111</v>
      </c>
      <c r="O119" s="148"/>
      <c r="P119" s="269"/>
      <c r="Q119" s="270" t="s">
        <v>459</v>
      </c>
      <c r="R119" s="84">
        <f t="shared" si="20"/>
        <v>5661139.6800000006</v>
      </c>
      <c r="S119" s="92">
        <v>7.6999999999999999E-2</v>
      </c>
      <c r="T119" s="162">
        <f t="shared" ca="1" si="30"/>
        <v>23</v>
      </c>
      <c r="U119" s="85">
        <f t="shared" ca="1" si="31"/>
        <v>27468</v>
      </c>
      <c r="V119" s="85">
        <f t="shared" ca="1" si="32"/>
        <v>5633671.6800000006</v>
      </c>
      <c r="W119" s="17"/>
      <c r="X119" s="6"/>
      <c r="Y119" s="94"/>
      <c r="Z119" s="94"/>
      <c r="AA119" s="20"/>
      <c r="AB119" s="19"/>
      <c r="AC119" s="16" t="e" cm="1">
        <f t="array" ref="AC119">_xlfn.IFS(D119="INDUSTOWER","275000000",D119="RELIANCEIN","220000000",D119="SIEMENSLTD","83330000")-I119</f>
        <v>#N/A</v>
      </c>
      <c r="AD119"/>
    </row>
    <row r="120" spans="1:30" x14ac:dyDescent="0.25">
      <c r="A120" s="158">
        <f>SUBTOTAL(3,B$3:B120)</f>
        <v>0</v>
      </c>
      <c r="B120" s="1">
        <f>SUBTOTAL(3,C$3:C120)</f>
        <v>118</v>
      </c>
      <c r="C120" s="83" t="s">
        <v>93</v>
      </c>
      <c r="D120" s="210" t="s">
        <v>453</v>
      </c>
      <c r="E120" s="49" t="s">
        <v>7</v>
      </c>
      <c r="F120" s="211" t="s">
        <v>446</v>
      </c>
      <c r="G120" s="212">
        <v>46117</v>
      </c>
      <c r="H120" s="34" t="s">
        <v>6</v>
      </c>
      <c r="I120" s="214">
        <v>1162743.68</v>
      </c>
      <c r="J120" s="161" cm="1">
        <f t="array" ref="J120">_xlfn.IFS(D120="INDUSTOWER","40",D120="RELIANCEIN","44",D120="SIEMENSLTD","120",D120="CLEANMAX","40",D120="AVAADA","40",D120="ARCHTECH","40")+G120</f>
        <v>46157</v>
      </c>
      <c r="K120" s="268">
        <f t="shared" ca="1" si="27"/>
        <v>46148</v>
      </c>
      <c r="L120" s="161">
        <f t="shared" si="28"/>
        <v>46177</v>
      </c>
      <c r="M120" s="209" t="s">
        <v>454</v>
      </c>
      <c r="N120" s="216">
        <f t="shared" si="29"/>
        <v>46117</v>
      </c>
      <c r="O120" s="148"/>
      <c r="P120" s="269"/>
      <c r="Q120" s="270" t="s">
        <v>460</v>
      </c>
      <c r="R120" s="84">
        <f t="shared" si="20"/>
        <v>1046469.3119999999</v>
      </c>
      <c r="S120" s="92">
        <v>7.6999999999999999E-2</v>
      </c>
      <c r="T120" s="162">
        <f t="shared" ca="1" si="30"/>
        <v>29</v>
      </c>
      <c r="U120" s="85">
        <f t="shared" ca="1" si="31"/>
        <v>6402</v>
      </c>
      <c r="V120" s="85">
        <f t="shared" ca="1" si="32"/>
        <v>1040067.3119999999</v>
      </c>
      <c r="W120" s="17"/>
      <c r="X120" s="6"/>
      <c r="Y120" s="94"/>
      <c r="Z120" s="94"/>
      <c r="AA120" s="20"/>
      <c r="AB120" s="19"/>
      <c r="AC120" s="16" t="e" cm="1">
        <f t="array" ref="AC120">_xlfn.IFS(D120="INDUSTOWER","275000000",D120="RELIANCEIN","220000000",D120="SIEMENSLTD","83330000")-I120</f>
        <v>#N/A</v>
      </c>
      <c r="AD120"/>
    </row>
    <row r="121" spans="1:30" x14ac:dyDescent="0.25">
      <c r="A121" s="158">
        <f>SUBTOTAL(3,B$3:B121)</f>
        <v>0</v>
      </c>
      <c r="B121" s="1">
        <f>SUBTOTAL(3,C$3:C121)</f>
        <v>119</v>
      </c>
      <c r="C121" s="83" t="s">
        <v>93</v>
      </c>
      <c r="D121" s="210" t="s">
        <v>453</v>
      </c>
      <c r="E121" s="49" t="s">
        <v>7</v>
      </c>
      <c r="F121" s="211" t="s">
        <v>447</v>
      </c>
      <c r="G121" s="212">
        <v>46117</v>
      </c>
      <c r="H121" s="34" t="s">
        <v>6</v>
      </c>
      <c r="I121" s="214">
        <v>1162743.68</v>
      </c>
      <c r="J121" s="161" cm="1">
        <f t="array" ref="J121">_xlfn.IFS(D121="INDUSTOWER","40",D121="RELIANCEIN","44",D121="SIEMENSLTD","120",D121="CLEANMAX","40",D121="AVAADA","40",D121="ARCHTECH","40")+G121</f>
        <v>46157</v>
      </c>
      <c r="K121" s="268">
        <f t="shared" ca="1" si="27"/>
        <v>46148</v>
      </c>
      <c r="L121" s="161">
        <f t="shared" si="28"/>
        <v>46177</v>
      </c>
      <c r="M121" s="209" t="s">
        <v>455</v>
      </c>
      <c r="N121" s="216">
        <f t="shared" si="29"/>
        <v>46117</v>
      </c>
      <c r="O121" s="148"/>
      <c r="P121" s="269"/>
      <c r="Q121" s="270" t="s">
        <v>460</v>
      </c>
      <c r="R121" s="84">
        <f t="shared" si="20"/>
        <v>1046469.3119999999</v>
      </c>
      <c r="S121" s="92">
        <v>7.6999999999999999E-2</v>
      </c>
      <c r="T121" s="162">
        <f t="shared" ca="1" si="30"/>
        <v>29</v>
      </c>
      <c r="U121" s="85">
        <f t="shared" ca="1" si="31"/>
        <v>6402</v>
      </c>
      <c r="V121" s="85">
        <f t="shared" ca="1" si="32"/>
        <v>1040067.3119999999</v>
      </c>
      <c r="W121" s="17"/>
      <c r="X121" s="6"/>
      <c r="Y121" s="94"/>
      <c r="Z121" s="94"/>
      <c r="AA121" s="20"/>
      <c r="AB121" s="19"/>
      <c r="AC121" s="16" t="e" cm="1">
        <f t="array" ref="AC121">_xlfn.IFS(D121="INDUSTOWER","275000000",D121="RELIANCEIN","220000000",D121="SIEMENSLTD","83330000")-I121</f>
        <v>#N/A</v>
      </c>
      <c r="AD121"/>
    </row>
    <row r="122" spans="1:30" x14ac:dyDescent="0.25">
      <c r="A122" s="158">
        <f>SUBTOTAL(3,B$3:B122)</f>
        <v>0</v>
      </c>
      <c r="B122" s="1">
        <f>SUBTOTAL(3,C$3:C122)</f>
        <v>120</v>
      </c>
      <c r="C122" s="83" t="s">
        <v>93</v>
      </c>
      <c r="D122" s="210" t="s">
        <v>453</v>
      </c>
      <c r="E122" s="49" t="s">
        <v>7</v>
      </c>
      <c r="F122" s="211" t="s">
        <v>448</v>
      </c>
      <c r="G122" s="212">
        <v>46118</v>
      </c>
      <c r="H122" s="34" t="s">
        <v>6</v>
      </c>
      <c r="I122" s="214">
        <v>1162743.68</v>
      </c>
      <c r="J122" s="161" cm="1">
        <f t="array" ref="J122">_xlfn.IFS(D122="INDUSTOWER","40",D122="RELIANCEIN","44",D122="SIEMENSLTD","120",D122="CLEANMAX","40",D122="AVAADA","40",D122="ARCHTECH","40")+G122</f>
        <v>46158</v>
      </c>
      <c r="K122" s="268">
        <f t="shared" ca="1" si="27"/>
        <v>46148</v>
      </c>
      <c r="L122" s="161">
        <f t="shared" si="28"/>
        <v>46178</v>
      </c>
      <c r="M122" s="209" t="s">
        <v>456</v>
      </c>
      <c r="N122" s="216">
        <f t="shared" si="29"/>
        <v>46118</v>
      </c>
      <c r="O122" s="148"/>
      <c r="P122" s="269"/>
      <c r="Q122" s="270" t="s">
        <v>460</v>
      </c>
      <c r="R122" s="84">
        <f t="shared" si="20"/>
        <v>1046469.3119999999</v>
      </c>
      <c r="S122" s="92">
        <v>7.6999999999999999E-2</v>
      </c>
      <c r="T122" s="162">
        <f t="shared" ca="1" si="30"/>
        <v>30</v>
      </c>
      <c r="U122" s="85">
        <f t="shared" ca="1" si="31"/>
        <v>6623</v>
      </c>
      <c r="V122" s="85">
        <f t="shared" ca="1" si="32"/>
        <v>1039846.3119999999</v>
      </c>
      <c r="W122" s="17"/>
      <c r="X122" s="6"/>
      <c r="Y122" s="94"/>
      <c r="Z122" s="94"/>
      <c r="AA122" s="20"/>
      <c r="AB122" s="19"/>
      <c r="AC122" s="16" t="e" cm="1">
        <f t="array" ref="AC122">_xlfn.IFS(D122="INDUSTOWER","275000000",D122="RELIANCEIN","220000000",D122="SIEMENSLTD","83330000")-I122</f>
        <v>#N/A</v>
      </c>
      <c r="AD122"/>
    </row>
    <row r="123" spans="1:30" x14ac:dyDescent="0.25">
      <c r="A123" s="158">
        <f>SUBTOTAL(3,B$3:B123)</f>
        <v>0</v>
      </c>
      <c r="B123" s="1">
        <f>SUBTOTAL(3,C$3:C123)</f>
        <v>121</v>
      </c>
      <c r="C123" s="83" t="s">
        <v>93</v>
      </c>
      <c r="D123" s="210" t="s">
        <v>453</v>
      </c>
      <c r="E123" s="49" t="s">
        <v>7</v>
      </c>
      <c r="F123" s="211" t="s">
        <v>449</v>
      </c>
      <c r="G123" s="212">
        <v>46118</v>
      </c>
      <c r="H123" s="34" t="s">
        <v>6</v>
      </c>
      <c r="I123" s="214">
        <v>1162743.68</v>
      </c>
      <c r="J123" s="161" cm="1">
        <f t="array" ref="J123">_xlfn.IFS(D123="INDUSTOWER","40",D123="RELIANCEIN","44",D123="SIEMENSLTD","120",D123="CLEANMAX","40",D123="AVAADA","40",D123="ARCHTECH","40")+G123</f>
        <v>46158</v>
      </c>
      <c r="K123" s="268">
        <f t="shared" ca="1" si="27"/>
        <v>46148</v>
      </c>
      <c r="L123" s="161">
        <f t="shared" si="28"/>
        <v>46178</v>
      </c>
      <c r="M123" s="209" t="s">
        <v>457</v>
      </c>
      <c r="N123" s="216">
        <f t="shared" si="29"/>
        <v>46118</v>
      </c>
      <c r="O123" s="148"/>
      <c r="P123" s="269"/>
      <c r="Q123" s="270" t="s">
        <v>460</v>
      </c>
      <c r="R123" s="84">
        <f t="shared" si="20"/>
        <v>1046469.3119999999</v>
      </c>
      <c r="S123" s="92">
        <v>7.6999999999999999E-2</v>
      </c>
      <c r="T123" s="162">
        <f t="shared" ca="1" si="30"/>
        <v>30</v>
      </c>
      <c r="U123" s="85">
        <f t="shared" ca="1" si="31"/>
        <v>6623</v>
      </c>
      <c r="V123" s="85">
        <f t="shared" ca="1" si="32"/>
        <v>1039846.3119999999</v>
      </c>
      <c r="W123" s="17"/>
      <c r="X123" s="6"/>
      <c r="Y123" s="94"/>
      <c r="Z123" s="94"/>
      <c r="AA123" s="20"/>
      <c r="AB123" s="19"/>
      <c r="AC123" s="16" t="e" cm="1">
        <f t="array" ref="AC123">_xlfn.IFS(D123="INDUSTOWER","275000000",D123="RELIANCEIN","220000000",D123="SIEMENSLTD","83330000")-I123</f>
        <v>#N/A</v>
      </c>
      <c r="AD123"/>
    </row>
    <row r="124" spans="1:30" x14ac:dyDescent="0.25">
      <c r="A124" s="158">
        <f>SUBTOTAL(3,B$3:B124)</f>
        <v>0</v>
      </c>
      <c r="B124" s="1">
        <f>SUBTOTAL(3,C$3:C124)</f>
        <v>122</v>
      </c>
      <c r="C124" s="83" t="s">
        <v>93</v>
      </c>
      <c r="D124" s="210" t="s">
        <v>453</v>
      </c>
      <c r="E124" s="49" t="s">
        <v>7</v>
      </c>
      <c r="F124" s="211" t="s">
        <v>450</v>
      </c>
      <c r="G124" s="212">
        <v>46125</v>
      </c>
      <c r="H124" s="34" t="s">
        <v>6</v>
      </c>
      <c r="I124" s="214">
        <v>1191733.92</v>
      </c>
      <c r="J124" s="161" cm="1">
        <f t="array" ref="J124">_xlfn.IFS(D124="INDUSTOWER","40",D124="RELIANCEIN","44",D124="SIEMENSLTD","120",D124="CLEANMAX","40",D124="AVAADA","40",D124="ARCHTECH","40")+G124</f>
        <v>46165</v>
      </c>
      <c r="K124" s="268">
        <f t="shared" ca="1" si="27"/>
        <v>46148</v>
      </c>
      <c r="L124" s="161">
        <f t="shared" si="28"/>
        <v>46185</v>
      </c>
      <c r="M124" s="209" t="s">
        <v>458</v>
      </c>
      <c r="N124" s="216">
        <f t="shared" si="29"/>
        <v>46125</v>
      </c>
      <c r="O124" s="148"/>
      <c r="P124" s="269"/>
      <c r="Q124" s="270" t="s">
        <v>460</v>
      </c>
      <c r="R124" s="84">
        <f t="shared" si="20"/>
        <v>1072560.5279999999</v>
      </c>
      <c r="S124" s="92">
        <v>7.6999999999999999E-2</v>
      </c>
      <c r="T124" s="162">
        <f t="shared" ca="1" si="30"/>
        <v>37</v>
      </c>
      <c r="U124" s="85">
        <f t="shared" ca="1" si="31"/>
        <v>8372</v>
      </c>
      <c r="V124" s="85">
        <f t="shared" ca="1" si="32"/>
        <v>1064188.5279999999</v>
      </c>
      <c r="W124" s="17"/>
      <c r="X124" s="6"/>
      <c r="Y124" s="94"/>
      <c r="Z124" s="94"/>
      <c r="AA124" s="20"/>
      <c r="AB124" s="19"/>
      <c r="AC124" s="16" t="e" cm="1">
        <f t="array" ref="AC124">_xlfn.IFS(D124="INDUSTOWER","275000000",D124="RELIANCEIN","220000000",D124="SIEMENSLTD","83330000")-I124</f>
        <v>#N/A</v>
      </c>
      <c r="AD124"/>
    </row>
    <row r="125" spans="1:30" x14ac:dyDescent="0.25">
      <c r="A125" s="158">
        <f>SUBTOTAL(3,B$3:B125)</f>
        <v>0</v>
      </c>
      <c r="B125" s="1">
        <f>SUBTOTAL(3,C$3:C125)</f>
        <v>123</v>
      </c>
      <c r="C125" s="83" t="s">
        <v>93</v>
      </c>
      <c r="D125" s="210" t="s">
        <v>453</v>
      </c>
      <c r="E125" s="49" t="s">
        <v>7</v>
      </c>
      <c r="F125" s="211" t="s">
        <v>451</v>
      </c>
      <c r="G125" s="212">
        <v>46134</v>
      </c>
      <c r="H125" s="34" t="s">
        <v>6</v>
      </c>
      <c r="I125" s="214">
        <v>1191733.92</v>
      </c>
      <c r="J125" s="161" cm="1">
        <f t="array" ref="J125">_xlfn.IFS(D125="INDUSTOWER","40",D125="RELIANCEIN","44",D125="SIEMENSLTD","120",D125="CLEANMAX","40",D125="AVAADA","40",D125="ARCHTECH","40")+G125</f>
        <v>46174</v>
      </c>
      <c r="K125" s="268">
        <f t="shared" ca="1" si="27"/>
        <v>46148</v>
      </c>
      <c r="L125" s="161">
        <f t="shared" si="28"/>
        <v>46194</v>
      </c>
      <c r="M125" s="209" t="s">
        <v>78</v>
      </c>
      <c r="N125" s="216">
        <f t="shared" si="29"/>
        <v>46134</v>
      </c>
      <c r="O125" s="148"/>
      <c r="P125" s="269"/>
      <c r="Q125" s="270" t="s">
        <v>460</v>
      </c>
      <c r="R125" s="84">
        <f t="shared" si="20"/>
        <v>1072560.5279999999</v>
      </c>
      <c r="S125" s="92">
        <v>7.6999999999999999E-2</v>
      </c>
      <c r="T125" s="162">
        <f t="shared" ca="1" si="30"/>
        <v>46</v>
      </c>
      <c r="U125" s="85">
        <f t="shared" ca="1" si="31"/>
        <v>10408</v>
      </c>
      <c r="V125" s="85">
        <f t="shared" ca="1" si="32"/>
        <v>1062152.5279999999</v>
      </c>
      <c r="W125" s="17"/>
      <c r="X125" s="6"/>
      <c r="Y125" s="94"/>
      <c r="Z125" s="94"/>
      <c r="AA125" s="20"/>
      <c r="AB125" s="19"/>
      <c r="AC125" s="16" t="e" cm="1">
        <f t="array" ref="AC125">_xlfn.IFS(D125="INDUSTOWER","275000000",D125="RELIANCEIN","220000000",D125="SIEMENSLTD","83330000")-I125</f>
        <v>#N/A</v>
      </c>
      <c r="AD125"/>
    </row>
    <row r="126" spans="1:30" x14ac:dyDescent="0.25">
      <c r="A126" s="158">
        <f>SUBTOTAL(3,B$3:B126)</f>
        <v>0</v>
      </c>
      <c r="B126" s="1">
        <f>SUBTOTAL(3,C$3:C126)</f>
        <v>124</v>
      </c>
      <c r="C126" s="83" t="s">
        <v>93</v>
      </c>
      <c r="D126" s="210" t="s">
        <v>453</v>
      </c>
      <c r="E126" s="49" t="s">
        <v>7</v>
      </c>
      <c r="F126" s="211" t="s">
        <v>452</v>
      </c>
      <c r="G126" s="212">
        <v>46136</v>
      </c>
      <c r="H126" s="34" t="s">
        <v>6</v>
      </c>
      <c r="I126" s="214">
        <v>1191733.92</v>
      </c>
      <c r="J126" s="161" cm="1">
        <f t="array" ref="J126">_xlfn.IFS(D126="INDUSTOWER","40",D126="RELIANCEIN","44",D126="SIEMENSLTD","120",D126="CLEANMAX","40",D126="AVAADA","40",D126="ARCHTECH","40")+G126</f>
        <v>46176</v>
      </c>
      <c r="K126" s="268">
        <f t="shared" ca="1" si="27"/>
        <v>46148</v>
      </c>
      <c r="L126" s="161">
        <f t="shared" si="28"/>
        <v>46196</v>
      </c>
      <c r="M126" s="209" t="s">
        <v>86</v>
      </c>
      <c r="N126" s="216">
        <f t="shared" si="29"/>
        <v>46136</v>
      </c>
      <c r="O126" s="148"/>
      <c r="P126" s="269"/>
      <c r="Q126" s="270" t="s">
        <v>460</v>
      </c>
      <c r="R126" s="84">
        <f t="shared" si="20"/>
        <v>1072560.5279999999</v>
      </c>
      <c r="S126" s="92">
        <v>7.6999999999999999E-2</v>
      </c>
      <c r="T126" s="162">
        <f t="shared" ca="1" si="30"/>
        <v>48</v>
      </c>
      <c r="U126" s="85">
        <f t="shared" ca="1" si="31"/>
        <v>10861</v>
      </c>
      <c r="V126" s="85">
        <f t="shared" ca="1" si="32"/>
        <v>1061699.5279999999</v>
      </c>
      <c r="W126" s="17"/>
      <c r="X126" s="6"/>
      <c r="Y126" s="94"/>
      <c r="Z126" s="94"/>
      <c r="AA126" s="20"/>
      <c r="AB126" s="19"/>
      <c r="AC126" s="16" t="e" cm="1">
        <f t="array" ref="AC126">_xlfn.IFS(D126="INDUSTOWER","275000000",D126="RELIANCEIN","220000000",D126="SIEMENSLTD","83330000")-I126</f>
        <v>#N/A</v>
      </c>
      <c r="AD126"/>
    </row>
    <row r="127" spans="1:30" x14ac:dyDescent="0.25">
      <c r="A127" s="158">
        <f>SUBTOTAL(3,B$3:B127)</f>
        <v>0</v>
      </c>
      <c r="B127" s="1">
        <f>SUBTOTAL(3,C$3:C127)</f>
        <v>125</v>
      </c>
      <c r="C127" s="83" t="s">
        <v>93</v>
      </c>
      <c r="D127" s="210" t="s">
        <v>472</v>
      </c>
      <c r="E127" s="49" t="s">
        <v>7</v>
      </c>
      <c r="F127" s="211" t="s">
        <v>467</v>
      </c>
      <c r="G127" s="212">
        <v>46118</v>
      </c>
      <c r="H127" s="34" t="s">
        <v>6</v>
      </c>
      <c r="I127" s="214">
        <v>485219.54000000004</v>
      </c>
      <c r="J127" s="161" cm="1">
        <f t="array" ref="J127">_xlfn.IFS(D127="INDUSTOWER","40",D127="RELIANCEIN","44",D127="SIEMENSLTD","120",D127="CLEANMAX","40",D127="AVAADA","40",D127="ARCHTECH","40")+G127</f>
        <v>46158</v>
      </c>
      <c r="K127" s="268">
        <f t="shared" ca="1" si="27"/>
        <v>46148</v>
      </c>
      <c r="L127" s="161">
        <f t="shared" si="28"/>
        <v>46178</v>
      </c>
      <c r="M127" s="209" t="s">
        <v>462</v>
      </c>
      <c r="N127" s="216">
        <f t="shared" si="29"/>
        <v>46118</v>
      </c>
      <c r="O127" s="148"/>
      <c r="P127" s="269"/>
      <c r="Q127" s="270" t="s">
        <v>473</v>
      </c>
      <c r="R127" s="84">
        <f t="shared" si="20"/>
        <v>436697.58600000007</v>
      </c>
      <c r="S127" s="92">
        <v>7.6999999999999999E-2</v>
      </c>
      <c r="T127" s="162">
        <f t="shared" ca="1" si="30"/>
        <v>30</v>
      </c>
      <c r="U127" s="85">
        <f t="shared" ca="1" si="31"/>
        <v>2764</v>
      </c>
      <c r="V127" s="85">
        <f t="shared" ca="1" si="32"/>
        <v>433933.58600000007</v>
      </c>
      <c r="W127" s="17"/>
      <c r="X127" s="6"/>
      <c r="Y127" s="94"/>
      <c r="Z127" s="94"/>
      <c r="AA127" s="20"/>
      <c r="AB127" s="19"/>
      <c r="AC127" s="16" t="e" cm="1">
        <f t="array" ref="AC127">_xlfn.IFS(D127="INDUSTOWER","275000000",D127="RELIANCEIN","220000000",D127="SIEMENSLTD","83330000")-I127</f>
        <v>#N/A</v>
      </c>
      <c r="AD127"/>
    </row>
    <row r="128" spans="1:30" x14ac:dyDescent="0.25">
      <c r="A128" s="158">
        <f>SUBTOTAL(3,B$3:B128)</f>
        <v>0</v>
      </c>
      <c r="B128" s="1">
        <f>SUBTOTAL(3,C$3:C128)</f>
        <v>126</v>
      </c>
      <c r="C128" s="83" t="s">
        <v>93</v>
      </c>
      <c r="D128" s="210" t="s">
        <v>472</v>
      </c>
      <c r="E128" s="49" t="s">
        <v>7</v>
      </c>
      <c r="F128" s="211" t="s">
        <v>468</v>
      </c>
      <c r="G128" s="212">
        <v>46129</v>
      </c>
      <c r="H128" s="34" t="s">
        <v>6</v>
      </c>
      <c r="I128" s="214">
        <v>1175384.78</v>
      </c>
      <c r="J128" s="161" cm="1">
        <f t="array" ref="J128">_xlfn.IFS(D128="INDUSTOWER","40",D128="RELIANCEIN","44",D128="SIEMENSLTD","120",D128="CLEANMAX","40",D128="AVAADA","40",D128="ARCHTECH","40")+G128</f>
        <v>46169</v>
      </c>
      <c r="K128" s="268">
        <f t="shared" ca="1" si="27"/>
        <v>46148</v>
      </c>
      <c r="L128" s="161">
        <f t="shared" si="28"/>
        <v>46189</v>
      </c>
      <c r="M128" s="209" t="s">
        <v>463</v>
      </c>
      <c r="N128" s="216">
        <f t="shared" si="29"/>
        <v>46129</v>
      </c>
      <c r="O128" s="148"/>
      <c r="P128" s="269"/>
      <c r="Q128" s="270" t="s">
        <v>474</v>
      </c>
      <c r="R128" s="84">
        <f t="shared" si="20"/>
        <v>1057846.3020000001</v>
      </c>
      <c r="S128" s="92">
        <v>7.6999999999999999E-2</v>
      </c>
      <c r="T128" s="162">
        <f t="shared" ca="1" si="30"/>
        <v>41</v>
      </c>
      <c r="U128" s="85">
        <f t="shared" ca="1" si="31"/>
        <v>9150</v>
      </c>
      <c r="V128" s="85">
        <f t="shared" ca="1" si="32"/>
        <v>1048696.3020000001</v>
      </c>
      <c r="W128" s="17"/>
      <c r="X128" s="6"/>
      <c r="Y128" s="94"/>
      <c r="Z128" s="94"/>
      <c r="AA128" s="20"/>
      <c r="AB128" s="19"/>
      <c r="AC128" s="16" t="e" cm="1">
        <f t="array" ref="AC128">_xlfn.IFS(D128="INDUSTOWER","275000000",D128="RELIANCEIN","220000000",D128="SIEMENSLTD","83330000")-I128</f>
        <v>#N/A</v>
      </c>
      <c r="AD128"/>
    </row>
    <row r="129" spans="1:30" x14ac:dyDescent="0.25">
      <c r="A129" s="158">
        <f>SUBTOTAL(3,B$3:B129)</f>
        <v>0</v>
      </c>
      <c r="B129" s="1">
        <f>SUBTOTAL(3,C$3:C129)</f>
        <v>127</v>
      </c>
      <c r="C129" s="83" t="s">
        <v>93</v>
      </c>
      <c r="D129" s="210" t="s">
        <v>472</v>
      </c>
      <c r="E129" s="49" t="s">
        <v>7</v>
      </c>
      <c r="F129" s="211" t="s">
        <v>469</v>
      </c>
      <c r="G129" s="212">
        <v>46129</v>
      </c>
      <c r="H129" s="34" t="s">
        <v>6</v>
      </c>
      <c r="I129" s="214">
        <v>2185489.7999999998</v>
      </c>
      <c r="J129" s="161" cm="1">
        <f t="array" ref="J129">_xlfn.IFS(D129="INDUSTOWER","40",D129="RELIANCEIN","44",D129="SIEMENSLTD","120",D129="CLEANMAX","40",D129="AVAADA","40",D129="ARCHTECH","40")+G129</f>
        <v>46169</v>
      </c>
      <c r="K129" s="268">
        <f t="shared" ca="1" si="27"/>
        <v>46148</v>
      </c>
      <c r="L129" s="161">
        <f t="shared" si="28"/>
        <v>46189</v>
      </c>
      <c r="M129" s="209" t="s">
        <v>464</v>
      </c>
      <c r="N129" s="216">
        <f t="shared" si="29"/>
        <v>46129</v>
      </c>
      <c r="O129" s="148"/>
      <c r="P129" s="269"/>
      <c r="Q129" s="270" t="s">
        <v>474</v>
      </c>
      <c r="R129" s="84">
        <f t="shared" si="20"/>
        <v>1966940.8199999998</v>
      </c>
      <c r="S129" s="92">
        <v>7.6999999999999999E-2</v>
      </c>
      <c r="T129" s="162">
        <f t="shared" ca="1" si="30"/>
        <v>41</v>
      </c>
      <c r="U129" s="85">
        <f t="shared" ca="1" si="31"/>
        <v>17013</v>
      </c>
      <c r="V129" s="85">
        <f t="shared" ca="1" si="32"/>
        <v>1949927.8199999998</v>
      </c>
      <c r="W129" s="17"/>
      <c r="X129" s="6"/>
      <c r="Y129" s="94"/>
      <c r="Z129" s="94"/>
      <c r="AA129" s="20"/>
      <c r="AB129" s="19"/>
      <c r="AC129" s="16" t="e" cm="1">
        <f t="array" ref="AC129">_xlfn.IFS(D129="INDUSTOWER","275000000",D129="RELIANCEIN","220000000",D129="SIEMENSLTD","83330000")-I129</f>
        <v>#N/A</v>
      </c>
      <c r="AD129"/>
    </row>
    <row r="130" spans="1:30" x14ac:dyDescent="0.25">
      <c r="A130" s="158">
        <f>SUBTOTAL(3,B$3:B130)</f>
        <v>0</v>
      </c>
      <c r="B130" s="1">
        <f>SUBTOTAL(3,C$3:C130)</f>
        <v>128</v>
      </c>
      <c r="C130" s="83" t="s">
        <v>93</v>
      </c>
      <c r="D130" s="210" t="s">
        <v>472</v>
      </c>
      <c r="E130" s="49" t="s">
        <v>7</v>
      </c>
      <c r="F130" s="211" t="s">
        <v>470</v>
      </c>
      <c r="G130" s="212">
        <v>46131</v>
      </c>
      <c r="H130" s="34" t="s">
        <v>6</v>
      </c>
      <c r="I130" s="214">
        <v>1175384.78</v>
      </c>
      <c r="J130" s="161" cm="1">
        <f t="array" ref="J130">_xlfn.IFS(D130="INDUSTOWER","40",D130="RELIANCEIN","44",D130="SIEMENSLTD","120",D130="CLEANMAX","40",D130="AVAADA","40",D130="ARCHTECH","40")+G130</f>
        <v>46171</v>
      </c>
      <c r="K130" s="268">
        <f t="shared" ca="1" si="27"/>
        <v>46148</v>
      </c>
      <c r="L130" s="161">
        <f t="shared" si="28"/>
        <v>46191</v>
      </c>
      <c r="M130" s="209" t="s">
        <v>465</v>
      </c>
      <c r="N130" s="216">
        <f t="shared" si="29"/>
        <v>46131</v>
      </c>
      <c r="O130" s="148"/>
      <c r="P130" s="269"/>
      <c r="Q130" s="270" t="s">
        <v>475</v>
      </c>
      <c r="R130" s="84">
        <f t="shared" si="20"/>
        <v>1057846.3020000001</v>
      </c>
      <c r="S130" s="92">
        <v>7.6999999999999999E-2</v>
      </c>
      <c r="T130" s="162">
        <f t="shared" ca="1" si="30"/>
        <v>43</v>
      </c>
      <c r="U130" s="85">
        <f t="shared" ca="1" si="31"/>
        <v>9596</v>
      </c>
      <c r="V130" s="85">
        <f t="shared" ca="1" si="32"/>
        <v>1048250.3020000001</v>
      </c>
      <c r="W130" s="17"/>
      <c r="X130" s="6"/>
      <c r="Y130" s="94"/>
      <c r="Z130" s="94"/>
      <c r="AA130" s="20"/>
      <c r="AB130" s="19"/>
      <c r="AC130" s="16" t="e" cm="1">
        <f t="array" ref="AC130">_xlfn.IFS(D130="INDUSTOWER","275000000",D130="RELIANCEIN","220000000",D130="SIEMENSLTD","83330000")-I130</f>
        <v>#N/A</v>
      </c>
      <c r="AD130"/>
    </row>
    <row r="131" spans="1:30" x14ac:dyDescent="0.25">
      <c r="A131" s="158">
        <f>SUBTOTAL(3,B$3:B131)</f>
        <v>0</v>
      </c>
      <c r="B131" s="1">
        <f>SUBTOTAL(3,C$3:C131)</f>
        <v>129</v>
      </c>
      <c r="C131" s="83" t="s">
        <v>93</v>
      </c>
      <c r="D131" s="210" t="s">
        <v>472</v>
      </c>
      <c r="E131" s="49" t="s">
        <v>7</v>
      </c>
      <c r="F131" s="211" t="s">
        <v>471</v>
      </c>
      <c r="G131" s="212">
        <v>46138</v>
      </c>
      <c r="H131" s="34" t="s">
        <v>6</v>
      </c>
      <c r="I131" s="214">
        <v>1345716.96</v>
      </c>
      <c r="J131" s="161" cm="1">
        <f t="array" ref="J131">_xlfn.IFS(D131="INDUSTOWER","40",D131="RELIANCEIN","44",D131="SIEMENSLTD","120",D131="CLEANMAX","40",D131="AVAADA","40",D131="ARCHTECH","40")+G131</f>
        <v>46178</v>
      </c>
      <c r="K131" s="268">
        <f t="shared" ca="1" si="27"/>
        <v>46148</v>
      </c>
      <c r="L131" s="161">
        <f t="shared" si="28"/>
        <v>46198</v>
      </c>
      <c r="M131" s="209" t="s">
        <v>466</v>
      </c>
      <c r="N131" s="216">
        <f t="shared" si="29"/>
        <v>46138</v>
      </c>
      <c r="O131" s="148"/>
      <c r="P131" s="269"/>
      <c r="Q131" s="270" t="s">
        <v>474</v>
      </c>
      <c r="R131" s="84">
        <f t="shared" si="20"/>
        <v>1211145.264</v>
      </c>
      <c r="S131" s="92">
        <v>7.6999999999999999E-2</v>
      </c>
      <c r="T131" s="162">
        <f t="shared" ca="1" si="30"/>
        <v>50</v>
      </c>
      <c r="U131" s="85">
        <f t="shared" ca="1" si="31"/>
        <v>12775</v>
      </c>
      <c r="V131" s="85">
        <f t="shared" ca="1" si="32"/>
        <v>1198370.264</v>
      </c>
      <c r="W131" s="17"/>
      <c r="X131" s="6"/>
      <c r="Y131" s="94"/>
      <c r="Z131" s="94"/>
      <c r="AA131" s="20"/>
      <c r="AB131" s="19"/>
      <c r="AC131" s="16" t="e" cm="1">
        <f t="array" ref="AC131">_xlfn.IFS(D131="INDUSTOWER","275000000",D131="RELIANCEIN","220000000",D131="SIEMENSLTD","83330000")-I131</f>
        <v>#N/A</v>
      </c>
      <c r="AD131"/>
    </row>
    <row r="132" spans="1:30" x14ac:dyDescent="0.25">
      <c r="A132" s="158">
        <f>SUBTOTAL(3,B$3:B132)</f>
        <v>0</v>
      </c>
      <c r="B132" s="1">
        <f>SUBTOTAL(3,C$3:C132)</f>
        <v>130</v>
      </c>
      <c r="C132" s="83" t="s">
        <v>93</v>
      </c>
      <c r="D132" s="210" t="s">
        <v>478</v>
      </c>
      <c r="E132" s="49" t="s">
        <v>7</v>
      </c>
      <c r="F132" s="211" t="s">
        <v>476</v>
      </c>
      <c r="G132" s="212">
        <v>46136</v>
      </c>
      <c r="H132" s="34" t="s">
        <v>6</v>
      </c>
      <c r="I132" s="214">
        <v>1387650.5</v>
      </c>
      <c r="J132" s="161" cm="1">
        <f t="array" ref="J132">_xlfn.IFS(D132="INDUSTOWER","40",D132="RELIANCEIN","44",D132="SIEMENSLTD","120",D132="CLEANMAX","40",D132="AVAADA","40",D132="ARCHTECH","40")+G132</f>
        <v>46176</v>
      </c>
      <c r="K132" s="268">
        <f t="shared" ca="1" si="27"/>
        <v>46148</v>
      </c>
      <c r="L132" s="161">
        <f t="shared" si="28"/>
        <v>46196</v>
      </c>
      <c r="M132" s="209" t="s">
        <v>479</v>
      </c>
      <c r="N132" s="216">
        <f t="shared" si="29"/>
        <v>46136</v>
      </c>
      <c r="O132" s="148"/>
      <c r="P132" s="269"/>
      <c r="Q132" s="270" t="s">
        <v>480</v>
      </c>
      <c r="R132" s="84">
        <f t="shared" si="20"/>
        <v>1248885.45</v>
      </c>
      <c r="S132" s="92">
        <v>7.6999999999999999E-2</v>
      </c>
      <c r="T132" s="162">
        <f t="shared" ca="1" si="30"/>
        <v>48</v>
      </c>
      <c r="U132" s="85">
        <f t="shared" ca="1" si="31"/>
        <v>12646</v>
      </c>
      <c r="V132" s="85">
        <f t="shared" ca="1" si="32"/>
        <v>1236239.45</v>
      </c>
      <c r="W132" s="17"/>
      <c r="X132" s="6"/>
      <c r="Y132" s="94"/>
      <c r="Z132" s="94"/>
      <c r="AA132" s="20"/>
      <c r="AB132" s="19"/>
      <c r="AC132" s="16" t="e" cm="1">
        <f t="array" ref="AC132">_xlfn.IFS(D132="INDUSTOWER","275000000",D132="RELIANCEIN","220000000",D132="SIEMENSLTD","83330000")-I132</f>
        <v>#N/A</v>
      </c>
      <c r="AD132"/>
    </row>
    <row r="133" spans="1:30" x14ac:dyDescent="0.25">
      <c r="A133" s="158">
        <f>SUBTOTAL(3,B$3:B133)</f>
        <v>0</v>
      </c>
      <c r="B133" s="1">
        <f>SUBTOTAL(3,C$3:C133)</f>
        <v>131</v>
      </c>
      <c r="C133" s="83" t="s">
        <v>93</v>
      </c>
      <c r="D133" s="210" t="s">
        <v>478</v>
      </c>
      <c r="E133" s="49" t="s">
        <v>7</v>
      </c>
      <c r="F133" s="211" t="s">
        <v>477</v>
      </c>
      <c r="G133" s="212">
        <v>46136</v>
      </c>
      <c r="H133" s="34" t="s">
        <v>6</v>
      </c>
      <c r="I133" s="214">
        <v>1451842.5</v>
      </c>
      <c r="J133" s="161" cm="1">
        <f t="array" ref="J133">_xlfn.IFS(D133="INDUSTOWER","40",D133="RELIANCEIN","44",D133="SIEMENSLTD","120",D133="CLEANMAX","40",D133="AVAADA","40",D133="ARCHTECH","40")+G133</f>
        <v>46176</v>
      </c>
      <c r="K133" s="268">
        <f t="shared" ca="1" si="27"/>
        <v>46148</v>
      </c>
      <c r="L133" s="161">
        <f t="shared" si="28"/>
        <v>46196</v>
      </c>
      <c r="M133" s="209" t="s">
        <v>479</v>
      </c>
      <c r="N133" s="216">
        <f t="shared" si="29"/>
        <v>46136</v>
      </c>
      <c r="O133" s="148"/>
      <c r="P133" s="269"/>
      <c r="Q133" s="270" t="s">
        <v>480</v>
      </c>
      <c r="R133" s="84">
        <f t="shared" si="20"/>
        <v>1306658.25</v>
      </c>
      <c r="S133" s="92">
        <v>7.6999999999999999E-2</v>
      </c>
      <c r="T133" s="162">
        <f t="shared" ca="1" si="30"/>
        <v>48</v>
      </c>
      <c r="U133" s="85">
        <f t="shared" ca="1" si="31"/>
        <v>13231</v>
      </c>
      <c r="V133" s="85">
        <f t="shared" ca="1" si="32"/>
        <v>1293427.25</v>
      </c>
      <c r="W133" s="17"/>
      <c r="X133" s="6"/>
      <c r="Y133" s="94"/>
      <c r="Z133" s="94"/>
      <c r="AA133" s="20"/>
      <c r="AB133" s="19"/>
      <c r="AC133" s="16" t="e" cm="1">
        <f t="array" ref="AC133">_xlfn.IFS(D133="INDUSTOWER","275000000",D133="RELIANCEIN","220000000",D133="SIEMENSLTD","83330000")-I133</f>
        <v>#N/A</v>
      </c>
      <c r="AD133"/>
    </row>
    <row r="134" spans="1:30" x14ac:dyDescent="0.25">
      <c r="A134" s="158">
        <f>SUBTOTAL(3,B$3:B134)</f>
        <v>0</v>
      </c>
      <c r="B134" s="1">
        <f>SUBTOTAL(3,C$3:C134)</f>
        <v>132</v>
      </c>
      <c r="C134" s="83" t="s">
        <v>93</v>
      </c>
      <c r="D134" s="210" t="s">
        <v>478</v>
      </c>
      <c r="E134" s="49" t="s">
        <v>7</v>
      </c>
      <c r="F134" s="211" t="s">
        <v>481</v>
      </c>
      <c r="G134" s="212">
        <v>46138</v>
      </c>
      <c r="H134" s="34" t="s">
        <v>6</v>
      </c>
      <c r="I134" s="214">
        <v>565190.5</v>
      </c>
      <c r="J134" s="161" cm="1">
        <f t="array" ref="J134">_xlfn.IFS(D134="INDUSTOWER","40",D134="RELIANCEIN","44",D134="SIEMENSLTD","120",D134="CLEANMAX","40",D134="AVAADA","40",D134="ARCHTECH","40")+G134</f>
        <v>46178</v>
      </c>
      <c r="K134" s="268">
        <f t="shared" ca="1" si="27"/>
        <v>46148</v>
      </c>
      <c r="L134" s="161">
        <f t="shared" si="28"/>
        <v>46198</v>
      </c>
      <c r="M134" s="209" t="s">
        <v>486</v>
      </c>
      <c r="N134" s="216">
        <f t="shared" si="29"/>
        <v>46138</v>
      </c>
      <c r="O134" s="148"/>
      <c r="P134" s="269"/>
      <c r="Q134" s="270" t="s">
        <v>490</v>
      </c>
      <c r="R134" s="84">
        <f t="shared" si="20"/>
        <v>508671.45</v>
      </c>
      <c r="S134" s="92">
        <v>7.6999999999999999E-2</v>
      </c>
      <c r="T134" s="162">
        <f t="shared" ca="1" si="30"/>
        <v>50</v>
      </c>
      <c r="U134" s="85">
        <f t="shared" ca="1" si="31"/>
        <v>5365</v>
      </c>
      <c r="V134" s="85">
        <f t="shared" ca="1" si="32"/>
        <v>503306.45</v>
      </c>
      <c r="W134" s="17"/>
      <c r="X134" s="6"/>
      <c r="Y134" s="94"/>
      <c r="Z134" s="94"/>
      <c r="AA134" s="20"/>
      <c r="AB134" s="19"/>
      <c r="AC134" s="16" t="e" cm="1">
        <f t="array" ref="AC134">_xlfn.IFS(D134="INDUSTOWER","275000000",D134="RELIANCEIN","220000000",D134="SIEMENSLTD","83330000")-I134</f>
        <v>#N/A</v>
      </c>
      <c r="AD134"/>
    </row>
    <row r="135" spans="1:30" x14ac:dyDescent="0.25">
      <c r="A135" s="158">
        <f>SUBTOTAL(3,B$3:B135)</f>
        <v>0</v>
      </c>
      <c r="B135" s="1">
        <f>SUBTOTAL(3,C$3:C135)</f>
        <v>133</v>
      </c>
      <c r="C135" s="83" t="s">
        <v>93</v>
      </c>
      <c r="D135" s="210" t="s">
        <v>478</v>
      </c>
      <c r="E135" s="49" t="s">
        <v>7</v>
      </c>
      <c r="F135" s="211" t="s">
        <v>482</v>
      </c>
      <c r="G135" s="212">
        <v>46139</v>
      </c>
      <c r="H135" s="34" t="s">
        <v>6</v>
      </c>
      <c r="I135" s="214">
        <v>552151.5</v>
      </c>
      <c r="J135" s="161" cm="1">
        <f t="array" ref="J135">_xlfn.IFS(D135="INDUSTOWER","40",D135="RELIANCEIN","44",D135="SIEMENSLTD","120",D135="CLEANMAX","40",D135="AVAADA","40",D135="ARCHTECH","40")+G135</f>
        <v>46179</v>
      </c>
      <c r="K135" s="268">
        <f t="shared" ca="1" si="27"/>
        <v>46148</v>
      </c>
      <c r="L135" s="161">
        <f t="shared" si="28"/>
        <v>46199</v>
      </c>
      <c r="M135" s="209" t="s">
        <v>487</v>
      </c>
      <c r="N135" s="216">
        <f t="shared" si="29"/>
        <v>46139</v>
      </c>
      <c r="O135" s="148"/>
      <c r="P135" s="269"/>
      <c r="Q135" s="270" t="s">
        <v>490</v>
      </c>
      <c r="R135" s="84">
        <f t="shared" si="20"/>
        <v>496936.35000000003</v>
      </c>
      <c r="S135" s="92">
        <v>7.6999999999999999E-2</v>
      </c>
      <c r="T135" s="162">
        <f t="shared" ca="1" si="30"/>
        <v>51</v>
      </c>
      <c r="U135" s="85">
        <f t="shared" ca="1" si="31"/>
        <v>5346</v>
      </c>
      <c r="V135" s="85">
        <f t="shared" ca="1" si="32"/>
        <v>491590.35000000003</v>
      </c>
      <c r="W135" s="17"/>
      <c r="X135" s="6"/>
      <c r="Y135" s="94"/>
      <c r="Z135" s="94"/>
      <c r="AA135" s="20"/>
      <c r="AB135" s="19"/>
      <c r="AC135" s="16" t="e" cm="1">
        <f t="array" ref="AC135">_xlfn.IFS(D135="INDUSTOWER","275000000",D135="RELIANCEIN","220000000",D135="SIEMENSLTD","83330000")-I135</f>
        <v>#N/A</v>
      </c>
      <c r="AD135"/>
    </row>
    <row r="136" spans="1:30" x14ac:dyDescent="0.25">
      <c r="A136" s="158">
        <f>SUBTOTAL(3,B$3:B136)</f>
        <v>0</v>
      </c>
      <c r="B136" s="1">
        <f>SUBTOTAL(3,C$3:C136)</f>
        <v>134</v>
      </c>
      <c r="C136" s="83" t="s">
        <v>93</v>
      </c>
      <c r="D136" s="210" t="s">
        <v>24</v>
      </c>
      <c r="E136" s="49" t="s">
        <v>7</v>
      </c>
      <c r="F136" s="211" t="s">
        <v>483</v>
      </c>
      <c r="G136" s="212">
        <v>46139</v>
      </c>
      <c r="H136" s="34" t="s">
        <v>6</v>
      </c>
      <c r="I136" s="214">
        <v>822460</v>
      </c>
      <c r="J136" s="161" cm="1">
        <f t="array" ref="J136">_xlfn.IFS(D136="INDUSTOWER","40",D136="RELIANCEIN","44",D136="SIEMENSLTD","120",D136="CLEANMAX","40",D136="AVAADA","40",D136="ARCHTECH","40")+G136</f>
        <v>46183</v>
      </c>
      <c r="K136" s="268">
        <f t="shared" ca="1" si="27"/>
        <v>46148</v>
      </c>
      <c r="L136" s="161">
        <f t="shared" si="28"/>
        <v>46203</v>
      </c>
      <c r="M136" s="209" t="s">
        <v>488</v>
      </c>
      <c r="N136" s="216">
        <f t="shared" si="29"/>
        <v>46139</v>
      </c>
      <c r="O136" s="148"/>
      <c r="P136" s="269"/>
      <c r="Q136" s="270" t="s">
        <v>196</v>
      </c>
      <c r="R136" s="84">
        <f t="shared" si="20"/>
        <v>740214</v>
      </c>
      <c r="S136" s="92">
        <v>7.6999999999999999E-2</v>
      </c>
      <c r="T136" s="162">
        <f t="shared" ca="1" si="30"/>
        <v>55</v>
      </c>
      <c r="U136" s="85">
        <f t="shared" ca="1" si="31"/>
        <v>8589</v>
      </c>
      <c r="V136" s="85">
        <f t="shared" ca="1" si="32"/>
        <v>731625</v>
      </c>
      <c r="W136" s="17"/>
      <c r="X136" s="6"/>
      <c r="Y136" s="94"/>
      <c r="Z136" s="94"/>
      <c r="AA136" s="20"/>
      <c r="AB136" s="19"/>
      <c r="AC136" s="16" cm="1">
        <f t="array" ref="AC136">_xlfn.IFS(D136="INDUSTOWER","275000000",D136="RELIANCEIN","220000000",D136="SIEMENSLTD","83330000")-I136</f>
        <v>219177540</v>
      </c>
      <c r="AD136"/>
    </row>
    <row r="137" spans="1:30" x14ac:dyDescent="0.25">
      <c r="A137" s="158">
        <f>SUBTOTAL(3,B$3:B137)</f>
        <v>0</v>
      </c>
      <c r="B137" s="1">
        <f>SUBTOTAL(3,C$3:C137)</f>
        <v>135</v>
      </c>
      <c r="C137" s="83" t="s">
        <v>93</v>
      </c>
      <c r="D137" s="30" t="s">
        <v>27</v>
      </c>
      <c r="E137" s="49" t="s">
        <v>7</v>
      </c>
      <c r="F137" s="211" t="s">
        <v>484</v>
      </c>
      <c r="G137" s="212">
        <v>46139</v>
      </c>
      <c r="H137" s="34" t="s">
        <v>6</v>
      </c>
      <c r="I137" s="214">
        <v>483325.64</v>
      </c>
      <c r="J137" s="161" cm="1">
        <f t="array" ref="J137">_xlfn.IFS(D137="INDUSTOWER","40",D137="RELIANCEIN","44",D137="SIEMENSLTD","120",D137="CLEANMAX","40",D137="AVAADA","40",D137="ARCHTECH","40")+G137</f>
        <v>46179</v>
      </c>
      <c r="K137" s="268">
        <f t="shared" ca="1" si="27"/>
        <v>46148</v>
      </c>
      <c r="L137" s="161">
        <f t="shared" si="28"/>
        <v>46199</v>
      </c>
      <c r="M137" s="209" t="s">
        <v>89</v>
      </c>
      <c r="N137" s="216">
        <f t="shared" si="29"/>
        <v>46139</v>
      </c>
      <c r="O137" s="148"/>
      <c r="P137" s="269"/>
      <c r="Q137" s="270" t="s">
        <v>29</v>
      </c>
      <c r="R137" s="84">
        <f t="shared" si="20"/>
        <v>434993.076</v>
      </c>
      <c r="S137" s="92">
        <v>7.6999999999999999E-2</v>
      </c>
      <c r="T137" s="162">
        <f t="shared" ca="1" si="30"/>
        <v>51</v>
      </c>
      <c r="U137" s="85">
        <f t="shared" ca="1" si="31"/>
        <v>4680</v>
      </c>
      <c r="V137" s="85">
        <f t="shared" ca="1" si="32"/>
        <v>430313.076</v>
      </c>
      <c r="W137" s="17"/>
      <c r="X137" s="6"/>
      <c r="Y137" s="94"/>
      <c r="Z137" s="94"/>
      <c r="AA137" s="20"/>
      <c r="AB137" s="19"/>
      <c r="AC137" s="16" cm="1">
        <f t="array" ref="AC137">_xlfn.IFS(D137="INDUSTOWER","275000000",D137="RELIANCEIN","220000000",D137="SIEMENSLTD","83330000")-I137</f>
        <v>274516674.36000001</v>
      </c>
      <c r="AD137"/>
    </row>
    <row r="138" spans="1:30" x14ac:dyDescent="0.25">
      <c r="A138" s="158">
        <f>SUBTOTAL(3,B$3:B138)</f>
        <v>0</v>
      </c>
      <c r="B138" s="1">
        <f>SUBTOTAL(3,C$3:C138)</f>
        <v>136</v>
      </c>
      <c r="C138" s="83" t="s">
        <v>93</v>
      </c>
      <c r="D138" s="30" t="s">
        <v>27</v>
      </c>
      <c r="E138" s="49" t="s">
        <v>7</v>
      </c>
      <c r="F138" s="211" t="s">
        <v>485</v>
      </c>
      <c r="G138" s="212">
        <v>46139</v>
      </c>
      <c r="H138" s="34" t="s">
        <v>6</v>
      </c>
      <c r="I138" s="214">
        <v>483325.64</v>
      </c>
      <c r="J138" s="161" cm="1">
        <f t="array" ref="J138">_xlfn.IFS(D138="INDUSTOWER","40",D138="RELIANCEIN","44",D138="SIEMENSLTD","120",D138="CLEANMAX","40",D138="AVAADA","40",D138="ARCHTECH","40")+G138</f>
        <v>46179</v>
      </c>
      <c r="K138" s="268">
        <f t="shared" ca="1" si="27"/>
        <v>46148</v>
      </c>
      <c r="L138" s="161">
        <f t="shared" si="28"/>
        <v>46199</v>
      </c>
      <c r="M138" s="209" t="s">
        <v>489</v>
      </c>
      <c r="N138" s="216">
        <f t="shared" si="29"/>
        <v>46139</v>
      </c>
      <c r="O138" s="148"/>
      <c r="P138" s="269"/>
      <c r="Q138" s="270" t="s">
        <v>29</v>
      </c>
      <c r="R138" s="84">
        <f t="shared" si="20"/>
        <v>434993.076</v>
      </c>
      <c r="S138" s="92">
        <v>7.6999999999999999E-2</v>
      </c>
      <c r="T138" s="162">
        <f t="shared" ca="1" si="30"/>
        <v>51</v>
      </c>
      <c r="U138" s="85">
        <f t="shared" ca="1" si="31"/>
        <v>4680</v>
      </c>
      <c r="V138" s="85">
        <f t="shared" ca="1" si="32"/>
        <v>430313.076</v>
      </c>
      <c r="W138" s="17"/>
      <c r="X138" s="6"/>
      <c r="Y138" s="94"/>
      <c r="Z138" s="94"/>
      <c r="AA138" s="20"/>
      <c r="AB138" s="19"/>
      <c r="AC138" s="16" cm="1">
        <f t="array" ref="AC138">_xlfn.IFS(D138="INDUSTOWER","275000000",D138="RELIANCEIN","220000000",D138="SIEMENSLTD","83330000")-I138</f>
        <v>274516674.36000001</v>
      </c>
      <c r="AD138"/>
    </row>
    <row r="139" spans="1:30" x14ac:dyDescent="0.25">
      <c r="A139" s="158">
        <f>SUBTOTAL(3,B$3:B139)</f>
        <v>0</v>
      </c>
      <c r="B139" s="1">
        <f>SUBTOTAL(3,C$3:C139)</f>
        <v>137</v>
      </c>
      <c r="C139" s="83" t="s">
        <v>93</v>
      </c>
      <c r="D139" s="30" t="s">
        <v>27</v>
      </c>
      <c r="E139" s="49" t="s">
        <v>7</v>
      </c>
      <c r="F139" s="211" t="s">
        <v>491</v>
      </c>
      <c r="G139" s="212">
        <v>46140</v>
      </c>
      <c r="H139" s="34" t="s">
        <v>6</v>
      </c>
      <c r="I139" s="214">
        <v>483325.64</v>
      </c>
      <c r="J139" s="161" cm="1">
        <f t="array" ref="J139">_xlfn.IFS(D139="INDUSTOWER","40",D139="RELIANCEIN","44",D139="SIEMENSLTD","120",D139="CLEANMAX","40",D139="AVAADA","40",D139="ARCHTECH","40")+G139</f>
        <v>46180</v>
      </c>
      <c r="K139" s="268">
        <f t="shared" ca="1" si="27"/>
        <v>46148</v>
      </c>
      <c r="L139" s="161">
        <f t="shared" si="28"/>
        <v>46200</v>
      </c>
      <c r="M139" s="209" t="s">
        <v>494</v>
      </c>
      <c r="N139" s="216">
        <f t="shared" si="29"/>
        <v>46140</v>
      </c>
      <c r="O139" s="148"/>
      <c r="P139" s="269"/>
      <c r="Q139" s="270" t="s">
        <v>29</v>
      </c>
      <c r="R139" s="84">
        <f t="shared" si="20"/>
        <v>434993.076</v>
      </c>
      <c r="S139" s="92">
        <v>7.6999999999999999E-2</v>
      </c>
      <c r="T139" s="162">
        <f t="shared" ca="1" si="30"/>
        <v>52</v>
      </c>
      <c r="U139" s="85">
        <f t="shared" ca="1" si="31"/>
        <v>4772</v>
      </c>
      <c r="V139" s="85">
        <f t="shared" ca="1" si="32"/>
        <v>430221.076</v>
      </c>
      <c r="W139" s="17"/>
      <c r="X139" s="6"/>
      <c r="Y139" s="94"/>
      <c r="Z139" s="94"/>
      <c r="AA139" s="20"/>
      <c r="AB139" s="19"/>
      <c r="AC139" s="16" cm="1">
        <f t="array" ref="AC139">_xlfn.IFS(D139="INDUSTOWER","275000000",D139="RELIANCEIN","220000000",D139="SIEMENSLTD","83330000")-I139</f>
        <v>274516674.36000001</v>
      </c>
      <c r="AD139"/>
    </row>
    <row r="140" spans="1:30" x14ac:dyDescent="0.25">
      <c r="A140" s="158">
        <f>SUBTOTAL(3,B$3:B140)</f>
        <v>0</v>
      </c>
      <c r="B140" s="1">
        <f>SUBTOTAL(3,C$3:C140)</f>
        <v>138</v>
      </c>
      <c r="C140" s="83" t="s">
        <v>93</v>
      </c>
      <c r="D140" s="30" t="s">
        <v>27</v>
      </c>
      <c r="E140" s="49" t="s">
        <v>7</v>
      </c>
      <c r="F140" s="211" t="s">
        <v>492</v>
      </c>
      <c r="G140" s="212">
        <v>46140</v>
      </c>
      <c r="H140" s="34" t="s">
        <v>6</v>
      </c>
      <c r="I140" s="214">
        <v>483325.64</v>
      </c>
      <c r="J140" s="161" cm="1">
        <f t="array" ref="J140">_xlfn.IFS(D140="INDUSTOWER","40",D140="RELIANCEIN","44",D140="SIEMENSLTD","120",D140="CLEANMAX","40",D140="AVAADA","40",D140="ARCHTECH","40")+G140</f>
        <v>46180</v>
      </c>
      <c r="K140" s="268">
        <f t="shared" ca="1" si="27"/>
        <v>46148</v>
      </c>
      <c r="L140" s="161">
        <f t="shared" si="28"/>
        <v>46200</v>
      </c>
      <c r="M140" s="209" t="s">
        <v>495</v>
      </c>
      <c r="N140" s="216">
        <f t="shared" si="29"/>
        <v>46140</v>
      </c>
      <c r="O140" s="148"/>
      <c r="P140" s="269"/>
      <c r="Q140" s="270" t="s">
        <v>29</v>
      </c>
      <c r="R140" s="84">
        <f t="shared" si="20"/>
        <v>434993.076</v>
      </c>
      <c r="S140" s="92">
        <v>7.6999999999999999E-2</v>
      </c>
      <c r="T140" s="162">
        <f t="shared" ca="1" si="30"/>
        <v>52</v>
      </c>
      <c r="U140" s="85">
        <f t="shared" ca="1" si="31"/>
        <v>4772</v>
      </c>
      <c r="V140" s="85">
        <f t="shared" ca="1" si="32"/>
        <v>430221.076</v>
      </c>
      <c r="W140" s="17"/>
      <c r="X140" s="6"/>
      <c r="Y140" s="94"/>
      <c r="Z140" s="94"/>
      <c r="AA140" s="20"/>
      <c r="AB140" s="19"/>
      <c r="AC140" s="16" cm="1">
        <f t="array" ref="AC140">_xlfn.IFS(D140="INDUSTOWER","275000000",D140="RELIANCEIN","220000000",D140="SIEMENSLTD","83330000")-I140</f>
        <v>274516674.36000001</v>
      </c>
      <c r="AD140"/>
    </row>
    <row r="141" spans="1:30" x14ac:dyDescent="0.25">
      <c r="A141" s="158">
        <f>SUBTOTAL(3,B$3:B141)</f>
        <v>0</v>
      </c>
      <c r="B141" s="1">
        <f>SUBTOTAL(3,C$3:C141)</f>
        <v>139</v>
      </c>
      <c r="C141" s="83" t="s">
        <v>93</v>
      </c>
      <c r="D141" s="30" t="s">
        <v>27</v>
      </c>
      <c r="E141" s="49" t="s">
        <v>7</v>
      </c>
      <c r="F141" s="211" t="s">
        <v>493</v>
      </c>
      <c r="G141" s="212">
        <v>46140</v>
      </c>
      <c r="H141" s="34" t="s">
        <v>6</v>
      </c>
      <c r="I141" s="214">
        <v>483325.64</v>
      </c>
      <c r="J141" s="161" cm="1">
        <f t="array" ref="J141">_xlfn.IFS(D141="INDUSTOWER","40",D141="RELIANCEIN","44",D141="SIEMENSLTD","120",D141="CLEANMAX","40",D141="AVAADA","40",D141="ARCHTECH","40")+G141</f>
        <v>46180</v>
      </c>
      <c r="K141" s="268">
        <f t="shared" ca="1" si="27"/>
        <v>46148</v>
      </c>
      <c r="L141" s="161">
        <f t="shared" si="28"/>
        <v>46200</v>
      </c>
      <c r="M141" s="209" t="s">
        <v>496</v>
      </c>
      <c r="N141" s="216">
        <f t="shared" si="29"/>
        <v>46140</v>
      </c>
      <c r="O141" s="148"/>
      <c r="P141" s="269"/>
      <c r="Q141" s="270" t="s">
        <v>29</v>
      </c>
      <c r="R141" s="84">
        <f t="shared" si="20"/>
        <v>434993.076</v>
      </c>
      <c r="S141" s="92">
        <v>7.6999999999999999E-2</v>
      </c>
      <c r="T141" s="162">
        <f t="shared" ca="1" si="30"/>
        <v>52</v>
      </c>
      <c r="U141" s="85">
        <f t="shared" ca="1" si="31"/>
        <v>4772</v>
      </c>
      <c r="V141" s="85">
        <f t="shared" ca="1" si="32"/>
        <v>430221.076</v>
      </c>
      <c r="W141" s="17"/>
      <c r="X141" s="6"/>
      <c r="Y141" s="94"/>
      <c r="Z141" s="94"/>
      <c r="AA141" s="20"/>
      <c r="AB141" s="19"/>
      <c r="AC141" s="16" cm="1">
        <f t="array" ref="AC141">_xlfn.IFS(D141="INDUSTOWER","275000000",D141="RELIANCEIN","220000000",D141="SIEMENSLTD","83330000")-I141</f>
        <v>274516674.36000001</v>
      </c>
      <c r="AD141"/>
    </row>
    <row r="142" spans="1:30" x14ac:dyDescent="0.25">
      <c r="A142" s="158">
        <f>SUBTOTAL(3,B$3:B142)</f>
        <v>0</v>
      </c>
      <c r="B142" s="1">
        <f>SUBTOTAL(3,C$3:C142)</f>
        <v>140</v>
      </c>
      <c r="C142" s="83" t="s">
        <v>93</v>
      </c>
      <c r="D142" s="210" t="s">
        <v>472</v>
      </c>
      <c r="E142" s="49" t="s">
        <v>7</v>
      </c>
      <c r="F142" s="211" t="s">
        <v>497</v>
      </c>
      <c r="G142" s="212">
        <v>46141</v>
      </c>
      <c r="H142" s="34" t="s">
        <v>6</v>
      </c>
      <c r="I142" s="214">
        <v>2493888.65</v>
      </c>
      <c r="J142" s="161" cm="1">
        <f t="array" ref="J142">_xlfn.IFS(D142="INDUSTOWER","40",D142="RELIANCEIN","44",D142="SIEMENSLTD","120",D142="CLEANMAX","40",D142="AVAADA","40",D142="ARCHTECH","40")+G142</f>
        <v>46181</v>
      </c>
      <c r="K142" s="268">
        <f t="shared" ca="1" si="27"/>
        <v>46148</v>
      </c>
      <c r="L142" s="161">
        <f t="shared" si="28"/>
        <v>46201</v>
      </c>
      <c r="M142" s="209" t="s">
        <v>510</v>
      </c>
      <c r="N142" s="216">
        <f t="shared" si="29"/>
        <v>46141</v>
      </c>
      <c r="O142" s="148"/>
      <c r="P142" s="269"/>
      <c r="Q142" s="270" t="s">
        <v>521</v>
      </c>
      <c r="R142" s="84">
        <f t="shared" si="20"/>
        <v>2244499.7850000001</v>
      </c>
      <c r="S142" s="92">
        <v>7.6999999999999999E-2</v>
      </c>
      <c r="T142" s="162">
        <f t="shared" ca="1" si="30"/>
        <v>53</v>
      </c>
      <c r="U142" s="85">
        <f t="shared" ca="1" si="31"/>
        <v>25095</v>
      </c>
      <c r="V142" s="85">
        <f t="shared" ca="1" si="32"/>
        <v>2219404.7850000001</v>
      </c>
      <c r="W142" s="17"/>
      <c r="X142" s="6"/>
      <c r="Y142" s="94"/>
      <c r="Z142" s="94"/>
      <c r="AA142" s="20"/>
      <c r="AB142" s="19"/>
      <c r="AC142" s="16" t="e" cm="1">
        <f t="array" ref="AC142">_xlfn.IFS(D142="INDUSTOWER","275000000",D142="RELIANCEIN","220000000",D142="SIEMENSLTD","83330000")-I142</f>
        <v>#N/A</v>
      </c>
      <c r="AD142"/>
    </row>
    <row r="143" spans="1:30" x14ac:dyDescent="0.25">
      <c r="A143" s="158">
        <f>SUBTOTAL(3,B$3:B143)</f>
        <v>0</v>
      </c>
      <c r="B143" s="1">
        <f>SUBTOTAL(3,C$3:C143)</f>
        <v>141</v>
      </c>
      <c r="C143" s="83" t="s">
        <v>93</v>
      </c>
      <c r="D143" s="210" t="s">
        <v>472</v>
      </c>
      <c r="E143" s="49" t="s">
        <v>7</v>
      </c>
      <c r="F143" s="211" t="s">
        <v>498</v>
      </c>
      <c r="G143" s="212">
        <v>46141</v>
      </c>
      <c r="H143" s="34" t="s">
        <v>6</v>
      </c>
      <c r="I143" s="214">
        <v>2493888.65</v>
      </c>
      <c r="J143" s="161" cm="1">
        <f t="array" ref="J143">_xlfn.IFS(D143="INDUSTOWER","40",D143="RELIANCEIN","44",D143="SIEMENSLTD","120",D143="CLEANMAX","40",D143="AVAADA","40",D143="ARCHTECH","40")+G143</f>
        <v>46181</v>
      </c>
      <c r="K143" s="268">
        <f t="shared" ca="1" si="27"/>
        <v>46148</v>
      </c>
      <c r="L143" s="161">
        <f t="shared" si="28"/>
        <v>46201</v>
      </c>
      <c r="M143" s="209" t="s">
        <v>83</v>
      </c>
      <c r="N143" s="216">
        <f t="shared" si="29"/>
        <v>46141</v>
      </c>
      <c r="O143" s="148"/>
      <c r="P143" s="269"/>
      <c r="Q143" s="270" t="s">
        <v>521</v>
      </c>
      <c r="R143" s="84">
        <f t="shared" si="20"/>
        <v>2244499.7850000001</v>
      </c>
      <c r="S143" s="92">
        <v>7.6999999999999999E-2</v>
      </c>
      <c r="T143" s="162">
        <f t="shared" ca="1" si="30"/>
        <v>53</v>
      </c>
      <c r="U143" s="85">
        <f t="shared" ca="1" si="31"/>
        <v>25095</v>
      </c>
      <c r="V143" s="85">
        <f t="shared" ca="1" si="32"/>
        <v>2219404.7850000001</v>
      </c>
      <c r="W143" s="17"/>
      <c r="X143" s="6"/>
      <c r="Y143" s="94"/>
      <c r="Z143" s="94"/>
      <c r="AA143" s="20"/>
      <c r="AB143" s="19"/>
      <c r="AC143" s="16" t="e" cm="1">
        <f t="array" ref="AC143">_xlfn.IFS(D143="INDUSTOWER","275000000",D143="RELIANCEIN","220000000",D143="SIEMENSLTD","83330000")-I143</f>
        <v>#N/A</v>
      </c>
      <c r="AD143"/>
    </row>
    <row r="144" spans="1:30" x14ac:dyDescent="0.25">
      <c r="A144" s="158">
        <f>SUBTOTAL(3,B$3:B144)</f>
        <v>0</v>
      </c>
      <c r="B144" s="1">
        <f>SUBTOTAL(3,C$3:C144)</f>
        <v>142</v>
      </c>
      <c r="C144" s="83" t="s">
        <v>93</v>
      </c>
      <c r="D144" s="210" t="s">
        <v>472</v>
      </c>
      <c r="E144" s="49" t="s">
        <v>7</v>
      </c>
      <c r="F144" s="211" t="s">
        <v>499</v>
      </c>
      <c r="G144" s="212">
        <v>46141</v>
      </c>
      <c r="H144" s="34" t="s">
        <v>6</v>
      </c>
      <c r="I144" s="214">
        <v>2540071.7799999998</v>
      </c>
      <c r="J144" s="161" cm="1">
        <f t="array" ref="J144">_xlfn.IFS(D144="INDUSTOWER","40",D144="RELIANCEIN","44",D144="SIEMENSLTD","120",D144="CLEANMAX","40",D144="AVAADA","40",D144="ARCHTECH","40")+G144</f>
        <v>46181</v>
      </c>
      <c r="K144" s="268">
        <f t="shared" ca="1" si="27"/>
        <v>46148</v>
      </c>
      <c r="L144" s="161">
        <f t="shared" si="28"/>
        <v>46201</v>
      </c>
      <c r="M144" s="209" t="s">
        <v>511</v>
      </c>
      <c r="N144" s="216">
        <f t="shared" si="29"/>
        <v>46141</v>
      </c>
      <c r="O144" s="148"/>
      <c r="P144" s="269"/>
      <c r="Q144" s="270" t="s">
        <v>521</v>
      </c>
      <c r="R144" s="84">
        <f t="shared" si="20"/>
        <v>2286064.602</v>
      </c>
      <c r="S144" s="92">
        <v>7.6999999999999999E-2</v>
      </c>
      <c r="T144" s="162">
        <f t="shared" ca="1" si="30"/>
        <v>53</v>
      </c>
      <c r="U144" s="85">
        <f t="shared" ca="1" si="31"/>
        <v>25560</v>
      </c>
      <c r="V144" s="85">
        <f t="shared" ca="1" si="32"/>
        <v>2260504.602</v>
      </c>
      <c r="W144" s="17"/>
      <c r="X144" s="6"/>
      <c r="Y144" s="94"/>
      <c r="Z144" s="94"/>
      <c r="AA144" s="20"/>
      <c r="AB144" s="19"/>
      <c r="AC144" s="16" t="e" cm="1">
        <f t="array" ref="AC144">_xlfn.IFS(D144="INDUSTOWER","275000000",D144="RELIANCEIN","220000000",D144="SIEMENSLTD","83330000")-I144</f>
        <v>#N/A</v>
      </c>
      <c r="AD144"/>
    </row>
    <row r="145" spans="1:30" x14ac:dyDescent="0.25">
      <c r="A145" s="158">
        <f>SUBTOTAL(3,B$3:B145)</f>
        <v>0</v>
      </c>
      <c r="B145" s="1">
        <f>SUBTOTAL(3,C$3:C145)</f>
        <v>143</v>
      </c>
      <c r="C145" s="83" t="s">
        <v>93</v>
      </c>
      <c r="D145" s="210" t="s">
        <v>472</v>
      </c>
      <c r="E145" s="49" t="s">
        <v>7</v>
      </c>
      <c r="F145" s="211" t="s">
        <v>500</v>
      </c>
      <c r="G145" s="212">
        <v>46141</v>
      </c>
      <c r="H145" s="34" t="s">
        <v>6</v>
      </c>
      <c r="I145" s="214">
        <v>3071177.69</v>
      </c>
      <c r="J145" s="161" cm="1">
        <f t="array" ref="J145">_xlfn.IFS(D145="INDUSTOWER","40",D145="RELIANCEIN","44",D145="SIEMENSLTD","120",D145="CLEANMAX","40",D145="AVAADA","40",D145="ARCHTECH","40")+G145</f>
        <v>46181</v>
      </c>
      <c r="K145" s="268">
        <f t="shared" ca="1" si="27"/>
        <v>46148</v>
      </c>
      <c r="L145" s="161">
        <f t="shared" si="28"/>
        <v>46201</v>
      </c>
      <c r="M145" s="209" t="s">
        <v>88</v>
      </c>
      <c r="N145" s="216">
        <f t="shared" si="29"/>
        <v>46141</v>
      </c>
      <c r="O145" s="148"/>
      <c r="P145" s="269"/>
      <c r="Q145" s="270" t="s">
        <v>521</v>
      </c>
      <c r="R145" s="84">
        <f t="shared" si="20"/>
        <v>2764059.9210000001</v>
      </c>
      <c r="S145" s="92">
        <v>7.6999999999999999E-2</v>
      </c>
      <c r="T145" s="162">
        <f t="shared" ca="1" si="30"/>
        <v>53</v>
      </c>
      <c r="U145" s="85">
        <f t="shared" ca="1" si="31"/>
        <v>30904</v>
      </c>
      <c r="V145" s="85">
        <f t="shared" ca="1" si="32"/>
        <v>2733155.9210000001</v>
      </c>
      <c r="W145" s="17"/>
      <c r="X145" s="6"/>
      <c r="Y145" s="94"/>
      <c r="Z145" s="94"/>
      <c r="AA145" s="20"/>
      <c r="AB145" s="19"/>
      <c r="AC145" s="16" t="e" cm="1">
        <f t="array" ref="AC145">_xlfn.IFS(D145="INDUSTOWER","275000000",D145="RELIANCEIN","220000000",D145="SIEMENSLTD","83330000")-I145</f>
        <v>#N/A</v>
      </c>
      <c r="AD145"/>
    </row>
    <row r="146" spans="1:30" x14ac:dyDescent="0.25">
      <c r="A146" s="158">
        <f>SUBTOTAL(3,B$3:B146)</f>
        <v>0</v>
      </c>
      <c r="B146" s="1">
        <f>SUBTOTAL(3,C$3:C146)</f>
        <v>144</v>
      </c>
      <c r="C146" s="83" t="s">
        <v>93</v>
      </c>
      <c r="D146" s="210" t="s">
        <v>472</v>
      </c>
      <c r="E146" s="49" t="s">
        <v>7</v>
      </c>
      <c r="F146" s="211" t="s">
        <v>501</v>
      </c>
      <c r="G146" s="212">
        <v>46141</v>
      </c>
      <c r="H146" s="34" t="s">
        <v>6</v>
      </c>
      <c r="I146" s="214">
        <v>2955719.88</v>
      </c>
      <c r="J146" s="161" cm="1">
        <f t="array" ref="J146">_xlfn.IFS(D146="INDUSTOWER","40",D146="RELIANCEIN","44",D146="SIEMENSLTD","120",D146="CLEANMAX","40",D146="AVAADA","40",D146="ARCHTECH","40")+G146</f>
        <v>46181</v>
      </c>
      <c r="K146" s="268">
        <f t="shared" ca="1" si="27"/>
        <v>46148</v>
      </c>
      <c r="L146" s="161">
        <f t="shared" si="28"/>
        <v>46201</v>
      </c>
      <c r="M146" s="209" t="s">
        <v>512</v>
      </c>
      <c r="N146" s="216">
        <f t="shared" si="29"/>
        <v>46141</v>
      </c>
      <c r="O146" s="148"/>
      <c r="P146" s="269"/>
      <c r="Q146" s="270" t="s">
        <v>521</v>
      </c>
      <c r="R146" s="84">
        <f t="shared" si="20"/>
        <v>2660147.892</v>
      </c>
      <c r="S146" s="92">
        <v>7.6999999999999999E-2</v>
      </c>
      <c r="T146" s="162">
        <f t="shared" ca="1" si="30"/>
        <v>53</v>
      </c>
      <c r="U146" s="85">
        <f t="shared" ca="1" si="31"/>
        <v>29743</v>
      </c>
      <c r="V146" s="85">
        <f t="shared" ca="1" si="32"/>
        <v>2630404.892</v>
      </c>
      <c r="W146" s="17"/>
      <c r="X146" s="6"/>
      <c r="Y146" s="94"/>
      <c r="Z146" s="94"/>
      <c r="AA146" s="20"/>
      <c r="AB146" s="19"/>
      <c r="AC146" s="16" t="e" cm="1">
        <f t="array" ref="AC146">_xlfn.IFS(D146="INDUSTOWER","275000000",D146="RELIANCEIN","220000000",D146="SIEMENSLTD","83330000")-I146</f>
        <v>#N/A</v>
      </c>
      <c r="AD146"/>
    </row>
    <row r="147" spans="1:30" x14ac:dyDescent="0.25">
      <c r="A147" s="158">
        <f>SUBTOTAL(3,B$3:B147)</f>
        <v>0</v>
      </c>
      <c r="B147" s="1">
        <f>SUBTOTAL(3,C$3:C147)</f>
        <v>145</v>
      </c>
      <c r="C147" s="83" t="s">
        <v>93</v>
      </c>
      <c r="D147" s="210" t="s">
        <v>472</v>
      </c>
      <c r="E147" s="49" t="s">
        <v>7</v>
      </c>
      <c r="F147" s="211" t="s">
        <v>502</v>
      </c>
      <c r="G147" s="212">
        <v>46141</v>
      </c>
      <c r="H147" s="34" t="s">
        <v>6</v>
      </c>
      <c r="I147" s="214">
        <v>2911461.06</v>
      </c>
      <c r="J147" s="161" cm="1">
        <f t="array" ref="J147">_xlfn.IFS(D147="INDUSTOWER","40",D147="RELIANCEIN","44",D147="SIEMENSLTD","120",D147="CLEANMAX","40",D147="AVAADA","40",D147="ARCHTECH","40")+G147</f>
        <v>46181</v>
      </c>
      <c r="K147" s="268">
        <f t="shared" ca="1" si="27"/>
        <v>46148</v>
      </c>
      <c r="L147" s="161">
        <f t="shared" si="28"/>
        <v>46201</v>
      </c>
      <c r="M147" s="209" t="s">
        <v>513</v>
      </c>
      <c r="N147" s="216">
        <f t="shared" si="29"/>
        <v>46141</v>
      </c>
      <c r="O147" s="148"/>
      <c r="P147" s="269"/>
      <c r="Q147" s="270" t="s">
        <v>521</v>
      </c>
      <c r="R147" s="84">
        <f t="shared" si="20"/>
        <v>2620314.9539999999</v>
      </c>
      <c r="S147" s="92">
        <v>7.6999999999999999E-2</v>
      </c>
      <c r="T147" s="162">
        <f t="shared" ca="1" si="30"/>
        <v>53</v>
      </c>
      <c r="U147" s="85">
        <f t="shared" ca="1" si="31"/>
        <v>29297</v>
      </c>
      <c r="V147" s="85">
        <f t="shared" ca="1" si="32"/>
        <v>2591017.9539999999</v>
      </c>
      <c r="W147" s="17"/>
      <c r="X147" s="6"/>
      <c r="Y147" s="94"/>
      <c r="Z147" s="94"/>
      <c r="AA147" s="20"/>
      <c r="AB147" s="19"/>
      <c r="AC147" s="16" t="e" cm="1">
        <f t="array" ref="AC147">_xlfn.IFS(D147="INDUSTOWER","275000000",D147="RELIANCEIN","220000000",D147="SIEMENSLTD","83330000")-I147</f>
        <v>#N/A</v>
      </c>
      <c r="AD147"/>
    </row>
    <row r="148" spans="1:30" x14ac:dyDescent="0.25">
      <c r="A148" s="158">
        <f>SUBTOTAL(3,B$3:B148)</f>
        <v>0</v>
      </c>
      <c r="B148" s="1">
        <f>SUBTOTAL(3,C$3:C148)</f>
        <v>146</v>
      </c>
      <c r="C148" s="83" t="s">
        <v>93</v>
      </c>
      <c r="D148" s="210" t="s">
        <v>472</v>
      </c>
      <c r="E148" s="49" t="s">
        <v>7</v>
      </c>
      <c r="F148" s="211" t="s">
        <v>503</v>
      </c>
      <c r="G148" s="212">
        <v>46141</v>
      </c>
      <c r="H148" s="34" t="s">
        <v>6</v>
      </c>
      <c r="I148" s="214">
        <v>2976887.15</v>
      </c>
      <c r="J148" s="161" cm="1">
        <f t="array" ref="J148">_xlfn.IFS(D148="INDUSTOWER","40",D148="RELIANCEIN","44",D148="SIEMENSLTD","120",D148="CLEANMAX","40",D148="AVAADA","40",D148="ARCHTECH","40")+G148</f>
        <v>46181</v>
      </c>
      <c r="K148" s="268">
        <f t="shared" ca="1" si="27"/>
        <v>46148</v>
      </c>
      <c r="L148" s="161">
        <f t="shared" si="28"/>
        <v>46201</v>
      </c>
      <c r="M148" s="209" t="s">
        <v>514</v>
      </c>
      <c r="N148" s="216">
        <f t="shared" si="29"/>
        <v>46141</v>
      </c>
      <c r="O148" s="148"/>
      <c r="P148" s="269"/>
      <c r="Q148" s="270" t="s">
        <v>521</v>
      </c>
      <c r="R148" s="84">
        <f t="shared" si="20"/>
        <v>2679198.4350000001</v>
      </c>
      <c r="S148" s="92">
        <v>7.6999999999999999E-2</v>
      </c>
      <c r="T148" s="162">
        <f t="shared" ca="1" si="30"/>
        <v>53</v>
      </c>
      <c r="U148" s="85">
        <f t="shared" ca="1" si="31"/>
        <v>29956</v>
      </c>
      <c r="V148" s="85">
        <f t="shared" ca="1" si="32"/>
        <v>2649242.4350000001</v>
      </c>
      <c r="W148" s="17"/>
      <c r="X148" s="6"/>
      <c r="Y148" s="94"/>
      <c r="Z148" s="94"/>
      <c r="AA148" s="20"/>
      <c r="AB148" s="19"/>
      <c r="AC148" s="16" t="e" cm="1">
        <f t="array" ref="AC148">_xlfn.IFS(D148="INDUSTOWER","275000000",D148="RELIANCEIN","220000000",D148="SIEMENSLTD","83330000")-I148</f>
        <v>#N/A</v>
      </c>
      <c r="AD148"/>
    </row>
    <row r="149" spans="1:30" x14ac:dyDescent="0.25">
      <c r="A149" s="158">
        <f>SUBTOTAL(3,B$3:B149)</f>
        <v>0</v>
      </c>
      <c r="B149" s="1">
        <f>SUBTOTAL(3,C$3:C149)</f>
        <v>147</v>
      </c>
      <c r="C149" s="83" t="s">
        <v>93</v>
      </c>
      <c r="D149" s="210" t="s">
        <v>24</v>
      </c>
      <c r="E149" s="49" t="s">
        <v>7</v>
      </c>
      <c r="F149" s="211" t="s">
        <v>504</v>
      </c>
      <c r="G149" s="212">
        <v>46141</v>
      </c>
      <c r="H149" s="34" t="s">
        <v>6</v>
      </c>
      <c r="I149" s="214">
        <v>766484.34</v>
      </c>
      <c r="J149" s="161" cm="1">
        <f t="array" ref="J149">_xlfn.IFS(D149="INDUSTOWER","40",D149="RELIANCEIN","44",D149="SIEMENSLTD","120",D149="CLEANMAX","40",D149="AVAADA","40",D149="ARCHTECH","40")+G149</f>
        <v>46185</v>
      </c>
      <c r="K149" s="268">
        <f t="shared" ca="1" si="27"/>
        <v>46148</v>
      </c>
      <c r="L149" s="161">
        <f t="shared" si="28"/>
        <v>46205</v>
      </c>
      <c r="M149" s="209" t="s">
        <v>515</v>
      </c>
      <c r="N149" s="216">
        <f t="shared" si="29"/>
        <v>46141</v>
      </c>
      <c r="O149" s="148"/>
      <c r="P149" s="269"/>
      <c r="Q149" s="270" t="s">
        <v>198</v>
      </c>
      <c r="R149" s="84">
        <f t="shared" si="20"/>
        <v>689835.90599999996</v>
      </c>
      <c r="S149" s="92">
        <v>7.6999999999999999E-2</v>
      </c>
      <c r="T149" s="162">
        <f t="shared" ca="1" si="30"/>
        <v>57</v>
      </c>
      <c r="U149" s="85">
        <f t="shared" ca="1" si="31"/>
        <v>8295</v>
      </c>
      <c r="V149" s="85">
        <f t="shared" ca="1" si="32"/>
        <v>681540.90599999996</v>
      </c>
      <c r="W149" s="17"/>
      <c r="X149" s="6"/>
      <c r="Y149" s="94"/>
      <c r="Z149" s="94"/>
      <c r="AA149" s="20"/>
      <c r="AB149" s="19"/>
      <c r="AC149" s="16" cm="1">
        <f t="array" ref="AC149">_xlfn.IFS(D149="INDUSTOWER","275000000",D149="RELIANCEIN","220000000",D149="SIEMENSLTD","83330000")-I149</f>
        <v>219233515.66</v>
      </c>
      <c r="AD149"/>
    </row>
    <row r="150" spans="1:30" x14ac:dyDescent="0.25">
      <c r="A150" s="158">
        <f>SUBTOTAL(3,B$3:B150)</f>
        <v>0</v>
      </c>
      <c r="B150" s="1">
        <f>SUBTOTAL(3,C$3:C150)</f>
        <v>148</v>
      </c>
      <c r="C150" s="83" t="s">
        <v>93</v>
      </c>
      <c r="D150" s="210" t="s">
        <v>24</v>
      </c>
      <c r="E150" s="49" t="s">
        <v>7</v>
      </c>
      <c r="F150" s="211" t="s">
        <v>505</v>
      </c>
      <c r="G150" s="212">
        <v>46141</v>
      </c>
      <c r="H150" s="34" t="s">
        <v>6</v>
      </c>
      <c r="I150" s="214">
        <v>1151810.98</v>
      </c>
      <c r="J150" s="161" cm="1">
        <f t="array" ref="J150">_xlfn.IFS(D150="INDUSTOWER","40",D150="RELIANCEIN","44",D150="SIEMENSLTD","120",D150="CLEANMAX","40",D150="AVAADA","40",D150="ARCHTECH","40")+G150</f>
        <v>46185</v>
      </c>
      <c r="K150" s="268">
        <f t="shared" ca="1" si="27"/>
        <v>46148</v>
      </c>
      <c r="L150" s="161">
        <f t="shared" si="28"/>
        <v>46205</v>
      </c>
      <c r="M150" s="209" t="s">
        <v>516</v>
      </c>
      <c r="N150" s="216">
        <f t="shared" si="29"/>
        <v>46141</v>
      </c>
      <c r="O150" s="148"/>
      <c r="P150" s="269"/>
      <c r="Q150" s="270" t="s">
        <v>26</v>
      </c>
      <c r="R150" s="84">
        <f t="shared" si="20"/>
        <v>1036629.882</v>
      </c>
      <c r="S150" s="92">
        <v>7.6999999999999999E-2</v>
      </c>
      <c r="T150" s="162">
        <f t="shared" ca="1" si="30"/>
        <v>57</v>
      </c>
      <c r="U150" s="85">
        <f t="shared" ca="1" si="31"/>
        <v>12465</v>
      </c>
      <c r="V150" s="85">
        <f t="shared" ca="1" si="32"/>
        <v>1024164.882</v>
      </c>
      <c r="W150" s="17"/>
      <c r="X150" s="6"/>
      <c r="Y150" s="94"/>
      <c r="Z150" s="94"/>
      <c r="AA150" s="20"/>
      <c r="AB150" s="19"/>
      <c r="AC150" s="16" cm="1">
        <f t="array" ref="AC150">_xlfn.IFS(D150="INDUSTOWER","275000000",D150="RELIANCEIN","220000000",D150="SIEMENSLTD","83330000")-I150</f>
        <v>218848189.02000001</v>
      </c>
      <c r="AD150"/>
    </row>
    <row r="151" spans="1:30" x14ac:dyDescent="0.25">
      <c r="A151" s="158">
        <f>SUBTOTAL(3,B$3:B151)</f>
        <v>0</v>
      </c>
      <c r="B151" s="1">
        <f>SUBTOTAL(3,C$3:C151)</f>
        <v>149</v>
      </c>
      <c r="C151" s="83" t="s">
        <v>93</v>
      </c>
      <c r="D151" s="210" t="s">
        <v>24</v>
      </c>
      <c r="E151" s="49" t="s">
        <v>7</v>
      </c>
      <c r="F151" s="211" t="s">
        <v>506</v>
      </c>
      <c r="G151" s="212">
        <v>46141</v>
      </c>
      <c r="H151" s="34" t="s">
        <v>6</v>
      </c>
      <c r="I151" s="214">
        <v>937604.4</v>
      </c>
      <c r="J151" s="161" cm="1">
        <f t="array" ref="J151">_xlfn.IFS(D151="INDUSTOWER","40",D151="RELIANCEIN","44",D151="SIEMENSLTD","120",D151="CLEANMAX","40",D151="AVAADA","40",D151="ARCHTECH","40")+G151</f>
        <v>46185</v>
      </c>
      <c r="K151" s="268">
        <f t="shared" ca="1" si="27"/>
        <v>46148</v>
      </c>
      <c r="L151" s="161">
        <f t="shared" si="28"/>
        <v>46205</v>
      </c>
      <c r="M151" s="209" t="s">
        <v>517</v>
      </c>
      <c r="N151" s="216">
        <f t="shared" si="29"/>
        <v>46141</v>
      </c>
      <c r="O151" s="148"/>
      <c r="P151" s="269"/>
      <c r="Q151" s="270" t="s">
        <v>196</v>
      </c>
      <c r="R151" s="84">
        <f t="shared" si="20"/>
        <v>843843.96000000008</v>
      </c>
      <c r="S151" s="92">
        <v>7.6999999999999999E-2</v>
      </c>
      <c r="T151" s="162">
        <f t="shared" ca="1" si="30"/>
        <v>57</v>
      </c>
      <c r="U151" s="85">
        <f t="shared" ca="1" si="31"/>
        <v>10147</v>
      </c>
      <c r="V151" s="85">
        <f t="shared" ca="1" si="32"/>
        <v>833696.96000000008</v>
      </c>
      <c r="W151" s="17"/>
      <c r="X151" s="6"/>
      <c r="Y151" s="94"/>
      <c r="Z151" s="94"/>
      <c r="AA151" s="20"/>
      <c r="AB151" s="19"/>
      <c r="AC151" s="16" cm="1">
        <f t="array" ref="AC151">_xlfn.IFS(D151="INDUSTOWER","275000000",D151="RELIANCEIN","220000000",D151="SIEMENSLTD","83330000")-I151</f>
        <v>219062395.59999999</v>
      </c>
      <c r="AD151"/>
    </row>
    <row r="152" spans="1:30" x14ac:dyDescent="0.25">
      <c r="A152" s="158">
        <f>SUBTOTAL(3,B$3:B152)</f>
        <v>0</v>
      </c>
      <c r="B152" s="1">
        <f>SUBTOTAL(3,C$3:C152)</f>
        <v>150</v>
      </c>
      <c r="C152" s="83" t="s">
        <v>93</v>
      </c>
      <c r="D152" s="210" t="s">
        <v>472</v>
      </c>
      <c r="E152" s="49" t="s">
        <v>7</v>
      </c>
      <c r="F152" s="211" t="s">
        <v>507</v>
      </c>
      <c r="G152" s="212">
        <v>46141</v>
      </c>
      <c r="H152" s="34" t="s">
        <v>6</v>
      </c>
      <c r="I152" s="214">
        <v>2909536.76</v>
      </c>
      <c r="J152" s="161" cm="1">
        <f t="array" ref="J152">_xlfn.IFS(D152="INDUSTOWER","40",D152="RELIANCEIN","44",D152="SIEMENSLTD","120",D152="CLEANMAX","40",D152="AVAADA","40",D152="ARCHTECH","40")+G152</f>
        <v>46181</v>
      </c>
      <c r="K152" s="268">
        <f t="shared" ca="1" si="27"/>
        <v>46148</v>
      </c>
      <c r="L152" s="161">
        <f t="shared" si="28"/>
        <v>46201</v>
      </c>
      <c r="M152" s="209" t="s">
        <v>518</v>
      </c>
      <c r="N152" s="216">
        <f t="shared" si="29"/>
        <v>46141</v>
      </c>
      <c r="O152" s="148"/>
      <c r="P152" s="269"/>
      <c r="Q152" s="270" t="s">
        <v>521</v>
      </c>
      <c r="R152" s="84">
        <f t="shared" si="20"/>
        <v>2618583.0839999998</v>
      </c>
      <c r="S152" s="92">
        <v>7.6999999999999999E-2</v>
      </c>
      <c r="T152" s="162">
        <f t="shared" ca="1" si="30"/>
        <v>53</v>
      </c>
      <c r="U152" s="85">
        <f t="shared" ca="1" si="31"/>
        <v>29278</v>
      </c>
      <c r="V152" s="85">
        <f t="shared" ca="1" si="32"/>
        <v>2589305.0839999998</v>
      </c>
      <c r="W152" s="17"/>
      <c r="X152" s="6"/>
      <c r="Y152" s="94"/>
      <c r="Z152" s="94"/>
      <c r="AA152" s="20"/>
      <c r="AB152" s="19"/>
      <c r="AC152" s="16" t="e" cm="1">
        <f t="array" ref="AC152">_xlfn.IFS(D152="INDUSTOWER","275000000",D152="RELIANCEIN","220000000",D152="SIEMENSLTD","83330000")-I152</f>
        <v>#N/A</v>
      </c>
      <c r="AD152"/>
    </row>
    <row r="153" spans="1:30" x14ac:dyDescent="0.25">
      <c r="A153" s="158">
        <f>SUBTOTAL(3,B$3:B153)</f>
        <v>0</v>
      </c>
      <c r="B153" s="1">
        <f>SUBTOTAL(3,C$3:C153)</f>
        <v>151</v>
      </c>
      <c r="C153" s="83" t="s">
        <v>93</v>
      </c>
      <c r="D153" s="210" t="s">
        <v>27</v>
      </c>
      <c r="E153" s="49" t="s">
        <v>7</v>
      </c>
      <c r="F153" s="211" t="s">
        <v>508</v>
      </c>
      <c r="G153" s="212">
        <v>46141</v>
      </c>
      <c r="H153" s="34" t="s">
        <v>6</v>
      </c>
      <c r="I153" s="214">
        <v>684578.18</v>
      </c>
      <c r="J153" s="161" cm="1">
        <f t="array" ref="J153">_xlfn.IFS(D153="INDUSTOWER","40",D153="RELIANCEIN","44",D153="SIEMENSLTD","120",D153="CLEANMAX","40",D153="AVAADA","40",D153="ARCHTECH","40")+G153</f>
        <v>46181</v>
      </c>
      <c r="K153" s="268">
        <f t="shared" ca="1" si="27"/>
        <v>46148</v>
      </c>
      <c r="L153" s="161">
        <f t="shared" si="28"/>
        <v>46201</v>
      </c>
      <c r="M153" s="209" t="s">
        <v>519</v>
      </c>
      <c r="N153" s="216">
        <f t="shared" si="29"/>
        <v>46141</v>
      </c>
      <c r="O153" s="148"/>
      <c r="P153" s="269"/>
      <c r="Q153" s="270" t="s">
        <v>70</v>
      </c>
      <c r="R153" s="84">
        <f t="shared" si="20"/>
        <v>616120.36200000008</v>
      </c>
      <c r="S153" s="92">
        <v>7.6999999999999999E-2</v>
      </c>
      <c r="T153" s="162">
        <f t="shared" ca="1" si="30"/>
        <v>53</v>
      </c>
      <c r="U153" s="85">
        <f t="shared" ca="1" si="31"/>
        <v>6889</v>
      </c>
      <c r="V153" s="85">
        <f t="shared" ca="1" si="32"/>
        <v>609231.36200000008</v>
      </c>
      <c r="W153" s="17"/>
      <c r="X153" s="6"/>
      <c r="Y153" s="94"/>
      <c r="Z153" s="94"/>
      <c r="AA153" s="20"/>
      <c r="AB153" s="19"/>
      <c r="AC153" s="16" cm="1">
        <f t="array" ref="AC153">_xlfn.IFS(D153="INDUSTOWER","275000000",D153="RELIANCEIN","220000000",D153="SIEMENSLTD","83330000")-I153</f>
        <v>274315421.81999999</v>
      </c>
      <c r="AD153"/>
    </row>
    <row r="154" spans="1:30" x14ac:dyDescent="0.25">
      <c r="A154" s="158">
        <f>SUBTOTAL(3,B$3:B154)</f>
        <v>0</v>
      </c>
      <c r="B154" s="1">
        <f>SUBTOTAL(3,C$3:C154)</f>
        <v>152</v>
      </c>
      <c r="C154" s="83" t="s">
        <v>93</v>
      </c>
      <c r="D154" s="210" t="s">
        <v>472</v>
      </c>
      <c r="E154" s="49" t="s">
        <v>7</v>
      </c>
      <c r="F154" s="211" t="s">
        <v>509</v>
      </c>
      <c r="G154" s="212">
        <v>46141</v>
      </c>
      <c r="H154" s="34" t="s">
        <v>6</v>
      </c>
      <c r="I154" s="214">
        <v>2532374.59</v>
      </c>
      <c r="J154" s="161" cm="1">
        <f t="array" ref="J154">_xlfn.IFS(D154="INDUSTOWER","40",D154="RELIANCEIN","44",D154="SIEMENSLTD","120",D154="CLEANMAX","40",D154="AVAADA","40",D154="ARCHTECH","40")+G154</f>
        <v>46181</v>
      </c>
      <c r="K154" s="268">
        <f t="shared" ca="1" si="27"/>
        <v>46148</v>
      </c>
      <c r="L154" s="161">
        <f t="shared" si="28"/>
        <v>46201</v>
      </c>
      <c r="M154" s="209" t="s">
        <v>520</v>
      </c>
      <c r="N154" s="216">
        <f t="shared" si="29"/>
        <v>46141</v>
      </c>
      <c r="O154" s="148"/>
      <c r="P154" s="269"/>
      <c r="Q154" s="270" t="s">
        <v>521</v>
      </c>
      <c r="R154" s="84">
        <f t="shared" si="20"/>
        <v>2279137.1310000001</v>
      </c>
      <c r="S154" s="92">
        <v>7.6999999999999999E-2</v>
      </c>
      <c r="T154" s="162">
        <f t="shared" ca="1" si="30"/>
        <v>53</v>
      </c>
      <c r="U154" s="85">
        <f t="shared" ca="1" si="31"/>
        <v>25483</v>
      </c>
      <c r="V154" s="85">
        <f t="shared" ca="1" si="32"/>
        <v>2253654.1310000001</v>
      </c>
      <c r="W154" s="17"/>
      <c r="X154" s="6"/>
      <c r="Y154" s="94"/>
      <c r="Z154" s="94"/>
      <c r="AA154" s="20"/>
      <c r="AB154" s="19"/>
      <c r="AC154" s="16" t="e" cm="1">
        <f t="array" ref="AC154">_xlfn.IFS(D154="INDUSTOWER","275000000",D154="RELIANCEIN","220000000",D154="SIEMENSLTD","83330000")-I154</f>
        <v>#N/A</v>
      </c>
      <c r="AD154"/>
    </row>
    <row r="155" spans="1:30" x14ac:dyDescent="0.25">
      <c r="AD155"/>
    </row>
    <row r="156" spans="1:30" x14ac:dyDescent="0.25">
      <c r="AD156"/>
    </row>
    <row r="157" spans="1:30" x14ac:dyDescent="0.25">
      <c r="AD157"/>
    </row>
    <row r="158" spans="1:30" x14ac:dyDescent="0.25">
      <c r="AD158"/>
    </row>
    <row r="159" spans="1:30" x14ac:dyDescent="0.25">
      <c r="AD159"/>
    </row>
    <row r="160" spans="1:30" x14ac:dyDescent="0.25">
      <c r="AD160"/>
    </row>
    <row r="161" spans="30:30" x14ac:dyDescent="0.25">
      <c r="AD161"/>
    </row>
    <row r="162" spans="30:30" x14ac:dyDescent="0.25">
      <c r="AD162"/>
    </row>
    <row r="163" spans="30:30" x14ac:dyDescent="0.25">
      <c r="AD163"/>
    </row>
    <row r="164" spans="30:30" x14ac:dyDescent="0.25">
      <c r="AD164"/>
    </row>
    <row r="165" spans="30:30" x14ac:dyDescent="0.25">
      <c r="AD165"/>
    </row>
    <row r="166" spans="30:30" x14ac:dyDescent="0.25">
      <c r="AD166"/>
    </row>
    <row r="167" spans="30:30" x14ac:dyDescent="0.25">
      <c r="AD167"/>
    </row>
    <row r="168" spans="30:30" x14ac:dyDescent="0.25">
      <c r="AD168"/>
    </row>
    <row r="169" spans="30:30" x14ac:dyDescent="0.25">
      <c r="AD169"/>
    </row>
    <row r="170" spans="30:30" x14ac:dyDescent="0.25">
      <c r="AD170"/>
    </row>
    <row r="171" spans="30:30" x14ac:dyDescent="0.25">
      <c r="AD171"/>
    </row>
    <row r="172" spans="30:30" x14ac:dyDescent="0.25">
      <c r="AD172"/>
    </row>
    <row r="173" spans="30:30" x14ac:dyDescent="0.25">
      <c r="AD173"/>
    </row>
    <row r="174" spans="30:30" x14ac:dyDescent="0.25">
      <c r="AD174"/>
    </row>
    <row r="175" spans="30:30" x14ac:dyDescent="0.25">
      <c r="AD175"/>
    </row>
    <row r="176" spans="30:30" x14ac:dyDescent="0.25">
      <c r="AD176"/>
    </row>
    <row r="177" spans="30:30" x14ac:dyDescent="0.25">
      <c r="AD177"/>
    </row>
    <row r="178" spans="30:30" x14ac:dyDescent="0.25">
      <c r="AD178"/>
    </row>
    <row r="179" spans="30:30" x14ac:dyDescent="0.25">
      <c r="AD179"/>
    </row>
    <row r="180" spans="30:30" x14ac:dyDescent="0.25">
      <c r="AD180"/>
    </row>
    <row r="181" spans="30:30" x14ac:dyDescent="0.25">
      <c r="AD181"/>
    </row>
    <row r="182" spans="30:30" x14ac:dyDescent="0.25">
      <c r="AD182"/>
    </row>
    <row r="183" spans="30:30" x14ac:dyDescent="0.25">
      <c r="AD183"/>
    </row>
    <row r="184" spans="30:30" x14ac:dyDescent="0.25">
      <c r="AD184"/>
    </row>
    <row r="185" spans="30:30" x14ac:dyDescent="0.25">
      <c r="AD185"/>
    </row>
    <row r="186" spans="30:30" x14ac:dyDescent="0.25">
      <c r="AD186"/>
    </row>
    <row r="187" spans="30:30" x14ac:dyDescent="0.25">
      <c r="AD187"/>
    </row>
    <row r="188" spans="30:30" x14ac:dyDescent="0.25">
      <c r="AD188"/>
    </row>
    <row r="189" spans="30:30" x14ac:dyDescent="0.25">
      <c r="AD189"/>
    </row>
    <row r="190" spans="30:30" x14ac:dyDescent="0.25">
      <c r="AD190"/>
    </row>
    <row r="191" spans="30:30" x14ac:dyDescent="0.25">
      <c r="AD191"/>
    </row>
    <row r="192" spans="30:30" x14ac:dyDescent="0.25">
      <c r="AD192"/>
    </row>
    <row r="193" spans="30:30" x14ac:dyDescent="0.25">
      <c r="AD193"/>
    </row>
  </sheetData>
  <protectedRanges>
    <protectedRange sqref="L118:M118 O118:P118 B2:O2 L125:Q125 L119:P122 Q118:R122 B155:V1048576 L123:R124 Q2:AC2 T3:U117 L126:R154 I118:K154 D118:D136 B118:B154 D142:D154 T118:V154 F118:G154 AC118:AC1048576 Y118:Z8295" name="Range1_74"/>
    <protectedRange sqref="V3:V117" name="Range1_1_1"/>
    <protectedRange sqref="H3:H154" name="Range1_7_1_2_1"/>
    <protectedRange sqref="Y3:AB3 Y6:AB117" name="Range1_2_1"/>
  </protectedRanges>
  <autoFilter ref="A1:W1" xr:uid="{970F4A25-841B-48E2-92F8-81C149D92043}"/>
  <dataConsolidate topLabels="1">
    <dataRefs count="1">
      <dataRef ref="P4108:Q4560" sheet="2024-25"/>
    </dataRefs>
  </dataConsolidate>
  <conditionalFormatting sqref="A1:XFD1048576">
    <cfRule type="expression" dxfId="15" priority="1">
      <formula>AND(ROW()=ROW(__FocusCell),COLUMN()&lt;&gt;COLUMN(__FocusCell))</formula>
    </cfRule>
    <cfRule type="expression" dxfId="14" priority="2">
      <formula>AND(COLUMN()=COLUMN(__FocusCell),ROW()&lt;&gt;ROW(__FocusCell))</formula>
    </cfRule>
  </conditionalFormatting>
  <conditionalFormatting sqref="F3:F27">
    <cfRule type="duplicateValues" dxfId="13" priority="3"/>
    <cfRule type="duplicateValues" dxfId="12" priority="4" stopIfTrue="1"/>
  </conditionalFormatting>
  <conditionalFormatting sqref="F28:F37">
    <cfRule type="duplicateValues" dxfId="11" priority="6"/>
    <cfRule type="duplicateValues" dxfId="10" priority="7" stopIfTrue="1"/>
  </conditionalFormatting>
  <conditionalFormatting sqref="F38:F76">
    <cfRule type="duplicateValues" dxfId="9" priority="8"/>
    <cfRule type="duplicateValues" dxfId="8" priority="9" stopIfTrue="1"/>
  </conditionalFormatting>
  <conditionalFormatting sqref="M3:M27">
    <cfRule type="duplicateValues" dxfId="7" priority="5"/>
  </conditionalFormatting>
  <conditionalFormatting sqref="M28:M76">
    <cfRule type="duplicateValues" dxfId="6" priority="10"/>
  </conditionalFormatting>
  <pageMargins left="0.7" right="0.7" top="0.75" bottom="0.75" header="0.3" footer="0.3"/>
  <pageSetup scale="78" orientation="landscape" r:id="rId1"/>
  <colBreaks count="1" manualBreakCount="1">
    <brk id="22"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C595-6617-40A1-8DBC-2654B5085A34}">
  <dimension ref="B2:C68"/>
  <sheetViews>
    <sheetView showGridLines="0" topLeftCell="A13" workbookViewId="0">
      <selection activeCell="B37" sqref="B37"/>
    </sheetView>
  </sheetViews>
  <sheetFormatPr defaultRowHeight="15" x14ac:dyDescent="0.25"/>
  <cols>
    <col min="1" max="1" width="2.7109375" customWidth="1"/>
    <col min="2" max="2" width="95.7109375" customWidth="1"/>
    <col min="3" max="3" width="40.7109375" customWidth="1"/>
  </cols>
  <sheetData>
    <row r="2" spans="2:2" ht="30.75" x14ac:dyDescent="0.55000000000000004">
      <c r="B2" s="224" t="s">
        <v>364</v>
      </c>
    </row>
    <row r="5" spans="2:2" x14ac:dyDescent="0.25">
      <c r="B5" s="225" t="s">
        <v>365</v>
      </c>
    </row>
    <row r="7" spans="2:2" ht="16.5" x14ac:dyDescent="0.3">
      <c r="B7" s="226" t="s">
        <v>366</v>
      </c>
    </row>
    <row r="8" spans="2:2" ht="16.5" x14ac:dyDescent="0.3">
      <c r="B8" s="226" t="s">
        <v>367</v>
      </c>
    </row>
    <row r="11" spans="2:2" x14ac:dyDescent="0.25">
      <c r="B11" s="227" t="s">
        <v>368</v>
      </c>
    </row>
    <row r="13" spans="2:2" ht="16.5" x14ac:dyDescent="0.3">
      <c r="B13" s="226" t="s">
        <v>369</v>
      </c>
    </row>
    <row r="14" spans="2:2" ht="16.5" x14ac:dyDescent="0.3">
      <c r="B14" s="226" t="s">
        <v>370</v>
      </c>
    </row>
    <row r="15" spans="2:2" x14ac:dyDescent="0.25">
      <c r="B15" s="228" t="s">
        <v>371</v>
      </c>
    </row>
    <row r="16" spans="2:2" ht="16.5" x14ac:dyDescent="0.3">
      <c r="B16" s="226" t="s">
        <v>372</v>
      </c>
    </row>
    <row r="19" spans="2:2" x14ac:dyDescent="0.25">
      <c r="B19" s="225" t="s">
        <v>373</v>
      </c>
    </row>
    <row r="21" spans="2:2" ht="16.5" x14ac:dyDescent="0.3">
      <c r="B21" s="226" t="s">
        <v>374</v>
      </c>
    </row>
    <row r="22" spans="2:2" ht="33" x14ac:dyDescent="0.3">
      <c r="B22" s="226" t="s">
        <v>375</v>
      </c>
    </row>
    <row r="25" spans="2:2" x14ac:dyDescent="0.25">
      <c r="B25" s="229" t="s">
        <v>376</v>
      </c>
    </row>
    <row r="27" spans="2:2" ht="16.5" x14ac:dyDescent="0.3">
      <c r="B27" s="226" t="s">
        <v>377</v>
      </c>
    </row>
    <row r="28" spans="2:2" ht="16.5" x14ac:dyDescent="0.3">
      <c r="B28" s="226" t="s">
        <v>378</v>
      </c>
    </row>
    <row r="29" spans="2:2" ht="16.5" x14ac:dyDescent="0.3">
      <c r="B29" s="226" t="s">
        <v>379</v>
      </c>
    </row>
    <row r="30" spans="2:2" ht="16.5" x14ac:dyDescent="0.3">
      <c r="B30" s="226" t="s">
        <v>380</v>
      </c>
    </row>
    <row r="31" spans="2:2" x14ac:dyDescent="0.25">
      <c r="B31" s="230" t="s">
        <v>381</v>
      </c>
    </row>
    <row r="32" spans="2:2" ht="16.5" x14ac:dyDescent="0.3">
      <c r="B32" s="226" t="s">
        <v>382</v>
      </c>
    </row>
    <row r="35" spans="2:3" x14ac:dyDescent="0.25">
      <c r="B35" s="231" t="s">
        <v>383</v>
      </c>
    </row>
    <row r="37" spans="2:3" x14ac:dyDescent="0.25">
      <c r="B37" s="232" t="s">
        <v>384</v>
      </c>
    </row>
    <row r="39" spans="2:3" ht="16.5" x14ac:dyDescent="0.3">
      <c r="B39" s="226" t="s">
        <v>385</v>
      </c>
    </row>
    <row r="40" spans="2:3" x14ac:dyDescent="0.25">
      <c r="B40" s="228" t="s">
        <v>386</v>
      </c>
    </row>
    <row r="41" spans="2:3" ht="16.5" x14ac:dyDescent="0.3">
      <c r="B41" s="226" t="s">
        <v>387</v>
      </c>
    </row>
    <row r="44" spans="2:3" x14ac:dyDescent="0.25">
      <c r="B44" s="233" t="s">
        <v>388</v>
      </c>
    </row>
    <row r="46" spans="2:3" x14ac:dyDescent="0.25">
      <c r="B46" s="22" t="s">
        <v>389</v>
      </c>
      <c r="C46" s="22" t="s">
        <v>390</v>
      </c>
    </row>
    <row r="47" spans="2:3" x14ac:dyDescent="0.25">
      <c r="B47" s="363" t="s">
        <v>391</v>
      </c>
      <c r="C47" s="363" t="s">
        <v>392</v>
      </c>
    </row>
    <row r="48" spans="2:3" x14ac:dyDescent="0.25">
      <c r="B48" s="363" t="s">
        <v>393</v>
      </c>
      <c r="C48" s="363" t="s">
        <v>394</v>
      </c>
    </row>
    <row r="49" spans="2:3" x14ac:dyDescent="0.25">
      <c r="B49" s="363" t="s">
        <v>395</v>
      </c>
      <c r="C49" s="363" t="s">
        <v>396</v>
      </c>
    </row>
    <row r="50" spans="2:3" x14ac:dyDescent="0.25">
      <c r="B50" s="363" t="s">
        <v>397</v>
      </c>
      <c r="C50" s="363" t="s">
        <v>398</v>
      </c>
    </row>
    <row r="51" spans="2:3" x14ac:dyDescent="0.25">
      <c r="B51" s="363" t="s">
        <v>399</v>
      </c>
      <c r="C51" s="363" t="s">
        <v>400</v>
      </c>
    </row>
    <row r="54" spans="2:3" x14ac:dyDescent="0.25">
      <c r="B54" s="234" t="s">
        <v>401</v>
      </c>
    </row>
    <row r="56" spans="2:3" x14ac:dyDescent="0.25">
      <c r="B56" s="235" t="s">
        <v>402</v>
      </c>
    </row>
    <row r="57" spans="2:3" ht="16.5" x14ac:dyDescent="0.3">
      <c r="B57" s="226" t="s">
        <v>403</v>
      </c>
    </row>
    <row r="58" spans="2:3" ht="16.5" x14ac:dyDescent="0.3">
      <c r="B58" s="226" t="s">
        <v>404</v>
      </c>
    </row>
    <row r="59" spans="2:3" ht="16.5" x14ac:dyDescent="0.3">
      <c r="B59" s="226" t="s">
        <v>405</v>
      </c>
    </row>
    <row r="60" spans="2:3" ht="16.5" x14ac:dyDescent="0.3">
      <c r="B60" s="226" t="s">
        <v>406</v>
      </c>
    </row>
    <row r="61" spans="2:3" ht="16.5" x14ac:dyDescent="0.3">
      <c r="B61" s="226" t="s">
        <v>407</v>
      </c>
    </row>
    <row r="63" spans="2:3" x14ac:dyDescent="0.25">
      <c r="B63" s="236" t="s">
        <v>408</v>
      </c>
    </row>
    <row r="64" spans="2:3" ht="16.5" x14ac:dyDescent="0.3">
      <c r="B64" s="226" t="s">
        <v>409</v>
      </c>
    </row>
    <row r="65" spans="2:2" ht="16.5" x14ac:dyDescent="0.3">
      <c r="B65" s="226" t="s">
        <v>410</v>
      </c>
    </row>
    <row r="66" spans="2:2" ht="16.5" x14ac:dyDescent="0.3">
      <c r="B66" s="226" t="s">
        <v>411</v>
      </c>
    </row>
    <row r="67" spans="2:2" x14ac:dyDescent="0.25">
      <c r="B67" s="237" t="s">
        <v>412</v>
      </c>
    </row>
    <row r="68" spans="2:2" x14ac:dyDescent="0.25">
      <c r="B68" s="238" t="s">
        <v>413</v>
      </c>
    </row>
  </sheetData>
  <hyperlinks>
    <hyperlink ref="B37" r:id="rId1" xr:uid="{8B839F49-F982-49DB-822B-4C9E7B3D3EA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105883-9C9E-4668-BD17-EEA42B930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Sheet_Index</vt:lpstr>
      <vt:lpstr>Dash_Settings</vt:lpstr>
      <vt:lpstr>Dash_Backend</vt:lpstr>
      <vt:lpstr>Offline_Dashboard</vt:lpstr>
      <vt:lpstr>DOMESTIC</vt:lpstr>
      <vt:lpstr>EXPORT</vt:lpstr>
      <vt:lpstr>SUMMARY</vt:lpstr>
      <vt:lpstr>AI Generated Formula</vt:lpstr>
      <vt:lpstr>DOMESTIC (2)</vt:lpstr>
      <vt:lpstr>GitHub Setup Guide</vt:lpstr>
      <vt:lpstr>'AI Generated Formula'!__FocusCell</vt:lpstr>
      <vt:lpstr>Dash_Backend!__FocusCell</vt:lpstr>
      <vt:lpstr>Dash_Settings!__FocusCell</vt:lpstr>
      <vt:lpstr>DOMESTIC!__FocusCell</vt:lpstr>
      <vt:lpstr>'DOMESTIC (2)'!__FocusCell</vt:lpstr>
      <vt:lpstr>EXPORT!__FocusCell</vt:lpstr>
      <vt:lpstr>Offline_Dashboard!__FocusCell</vt:lpstr>
      <vt:lpstr>Sheet_Index!__FocusCell</vt:lpstr>
      <vt:lpstr>SUMMARY!__FocusCell</vt:lpstr>
      <vt:lpstr>DashCurrencies</vt:lpstr>
      <vt:lpstr>DashHeaders</vt:lpstr>
      <vt:lpstr>EXPORT!Print_Area</vt:lpstr>
      <vt:lpstr>Sheet_Index!Print_Area</vt:lpstr>
      <vt:lpstr>SYS_DashTheme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 Ashish..</dc:creator>
  <cp:lastModifiedBy>Rakesh Sonawane</cp:lastModifiedBy>
  <cp:lastPrinted>2025-07-29T10:24:32Z</cp:lastPrinted>
  <dcterms:created xsi:type="dcterms:W3CDTF">2021-06-16T12:24:14Z</dcterms:created>
  <dcterms:modified xsi:type="dcterms:W3CDTF">2026-05-06T07:29:25Z</dcterms:modified>
</cp:coreProperties>
</file>